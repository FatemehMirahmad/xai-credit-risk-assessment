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ed Responses" sheetId="1" r:id="rId5"/>
    <sheet state="visible" name="Question Key" sheetId="2" r:id="rId6"/>
    <sheet state="visible" name="Likert Scores" sheetId="3" r:id="rId7"/>
    <sheet state="visible" name="Likert Summary" sheetId="4" r:id="rId8"/>
    <sheet state="visible" name="Participant Summary" sheetId="5" r:id="rId9"/>
    <sheet state="visible" name="Open Responses" sheetId="6" r:id="rId10"/>
    <sheet state="visible" name="Theme Analysis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<sst xmlns="http://schemas.openxmlformats.org/spreadsheetml/2006/main" count="561" uniqueCount="124">
  <si>
    <t>Code</t>
  </si>
  <si>
    <t>Timestamp</t>
  </si>
  <si>
    <t>Respondent</t>
  </si>
  <si>
    <t>Q1</t>
  </si>
  <si>
    <t>Q2</t>
  </si>
  <si>
    <t>Question</t>
  </si>
  <si>
    <t>Q3</t>
  </si>
  <si>
    <t>Q4</t>
  </si>
  <si>
    <t>Q5</t>
  </si>
  <si>
    <t>Q6</t>
  </si>
  <si>
    <t>Q7</t>
  </si>
  <si>
    <t>Consent</t>
  </si>
  <si>
    <t>Q8</t>
  </si>
  <si>
    <t>Professional Area</t>
  </si>
  <si>
    <t>Q9</t>
  </si>
  <si>
    <t>Experience</t>
  </si>
  <si>
    <t>Q10</t>
  </si>
  <si>
    <t>ML Familiarity</t>
  </si>
  <si>
    <t>1. Predictive accuracy is one of the most important factors when selecting a credit-risk model.</t>
  </si>
  <si>
    <t>Q11 Open Response</t>
  </si>
  <si>
    <t>2. I would be less willing to trust a highly accurate model if I could not understand how it reached its decisions.</t>
  </si>
  <si>
    <t>Q12 Open Response</t>
  </si>
  <si>
    <t>3. Explainability is especially important when a model rejects a borrower or predicts a high risk of default.</t>
  </si>
  <si>
    <t>deleted</t>
  </si>
  <si>
    <t>4. Simpler models such as Logistic Regression may be preferable when their predictive performance is close to that of more complex models.</t>
  </si>
  <si>
    <t>Yes</t>
  </si>
  <si>
    <t>Banking/finance</t>
  </si>
  <si>
    <t>5. Explainability tools such as SHAP can make complex machine-learning models more useful in financial decision-making.</t>
  </si>
  <si>
    <t>More than 10 years</t>
  </si>
  <si>
    <t>Agree</t>
  </si>
  <si>
    <t>Strongly agree</t>
  </si>
  <si>
    <t>6. Consistency between different explanation methods would increase my confidence in a model.</t>
  </si>
  <si>
    <t>Risk management</t>
  </si>
  <si>
    <t>Less than 1 year</t>
  </si>
  <si>
    <t>7. Credit-score information such as FICO is important when evaluating credit risk.</t>
  </si>
  <si>
    <t>Neutral</t>
  </si>
  <si>
    <t>Explaining how the model reached that accuracy would be the most important information I need before I choose a model</t>
  </si>
  <si>
    <t>8. False negatives—failing to identify an actual default—are a serious concern in credit-risk modelling.</t>
  </si>
  <si>
    <t>Credit analysis</t>
  </si>
  <si>
    <t>7–10 years</t>
  </si>
  <si>
    <t>9. False positives—incorrectly classifying a reliable borrower as high risk—are also an important concern.</t>
  </si>
  <si>
    <t>Data analytics/data science</t>
  </si>
  <si>
    <t>10. Human review should remain part of important credit decisions even when machine-learning models are used.</t>
  </si>
  <si>
    <t>How the model is making decisions and how accurate the decisions are</t>
  </si>
  <si>
    <t>Adv would be gaining its users trust</t>
  </si>
  <si>
    <t>Q11</t>
  </si>
  <si>
    <t>11. What information would you need before trusting a machine-learning model for credit-risk decisions?</t>
  </si>
  <si>
    <t>Audit/compliance</t>
  </si>
  <si>
    <t>1–3 years</t>
  </si>
  <si>
    <t>Q12</t>
  </si>
  <si>
    <t>Disagree</t>
  </si>
  <si>
    <t>12. What do you consider the main advantages or disadvantages of using explainable AI in credit-risk assessment?</t>
  </si>
  <si>
    <t xml:space="preserve">Transparency about data and methods </t>
  </si>
  <si>
    <t xml:space="preserve">Advantage: speed up the process. Disadvantage:  can cause dependency </t>
  </si>
  <si>
    <t>4–6 years</t>
  </si>
  <si>
    <t>Transparency and stablity</t>
  </si>
  <si>
    <t>Main advantage would be seeing how the model is predicting disadvantage would be there are not 100 percent accurate explainations</t>
  </si>
  <si>
    <t>Size of data, how much clean is the data.</t>
  </si>
  <si>
    <t xml:space="preserve">It could bring clarity on methodology and speed up and scale up the business </t>
  </si>
  <si>
    <t>Strongly disagree</t>
  </si>
  <si>
    <t>That the model is fair and transparent</t>
  </si>
  <si>
    <t>An advantage is it helps in trusting the model and makes transparent decision making possible</t>
  </si>
  <si>
    <t>Decision threshold; mean F1 score, accuracy, and precision; feature importance values</t>
  </si>
  <si>
    <t>Advantage: understanding of the rationale or basis for a decision; Disadvantage: apparent model biases</t>
  </si>
  <si>
    <t xml:space="preserve">To be able to see what factors most affect credit-risk assessment could enable the data scientists to evaluate and improve the models for future practices </t>
  </si>
  <si>
    <t>I would like to know what the model is taking into account when making decisions and the different weights it assigns to each factor.</t>
  </si>
  <si>
    <t>The main advantage would be speed and consistency. The main disadvantage would be a model making incorrect decisions. Especially bad if the person using the tool puts too much trust in the model and doesn’t review.</t>
  </si>
  <si>
    <t>Agree + Strongly agree %</t>
  </si>
  <si>
    <t>Mean</t>
  </si>
  <si>
    <t>Median</t>
  </si>
  <si>
    <t>Full wording</t>
  </si>
  <si>
    <t>Count</t>
  </si>
  <si>
    <t>Percent</t>
  </si>
  <si>
    <t>Response</t>
  </si>
  <si>
    <t>Themes</t>
  </si>
  <si>
    <t>Transparency / decision logic; Performance metrics</t>
  </si>
  <si>
    <t>Transparency / decision logic</t>
  </si>
  <si>
    <t>Transparency / decision logic; Stability / robustness</t>
  </si>
  <si>
    <t>Data quality</t>
  </si>
  <si>
    <t>Transparency / decision logic; Fairness</t>
  </si>
  <si>
    <t>Performance metrics; Decision threshold; Feature importance / weighting</t>
  </si>
  <si>
    <t>Feature importance / weighting; Transparency / decision logic</t>
  </si>
  <si>
    <t>Trust</t>
  </si>
  <si>
    <t>Efficiency / speed / scale; Over-reliance / dependency</t>
  </si>
  <si>
    <t>Transparency / understanding; Explanation / model limitations</t>
  </si>
  <si>
    <t>Transparency / understanding; Efficiency / speed / scale</t>
  </si>
  <si>
    <t>Trust; Transparency / understanding</t>
  </si>
  <si>
    <t>Transparency / understanding; Bias / fairness</t>
  </si>
  <si>
    <t>Feature insight / model improvement</t>
  </si>
  <si>
    <t>Efficiency / speed / scale; Error risk; Over-reliance / dependency</t>
  </si>
  <si>
    <t>ML Familiarity metric</t>
  </si>
  <si>
    <t>Value</t>
  </si>
  <si>
    <t>Q11 Theme</t>
  </si>
  <si>
    <t>% of Q11 open responses</t>
  </si>
  <si>
    <t>Interpretation</t>
  </si>
  <si>
    <t>Coding note</t>
  </si>
  <si>
    <t>Multi-coded; one response may contribute to more than one theme.</t>
  </si>
  <si>
    <t>Open responses are multi-coded.</t>
  </si>
  <si>
    <t>Performance metrics</t>
  </si>
  <si>
    <t>Q11 n</t>
  </si>
  <si>
    <t>Feature importance / weighting</t>
  </si>
  <si>
    <t>Q12 n</t>
  </si>
  <si>
    <t>Stability / robustness</t>
  </si>
  <si>
    <t>Fairness</t>
  </si>
  <si>
    <t>Decision threshold</t>
  </si>
  <si>
    <t>Q12 Theme</t>
  </si>
  <si>
    <t>% of Q12 open responses</t>
  </si>
  <si>
    <t>Transparency / understanding</t>
  </si>
  <si>
    <t>Efficiency / speed / scale</t>
  </si>
  <si>
    <t>Over-reliance / dependency</t>
  </si>
  <si>
    <t>Explanation / model limitations</t>
  </si>
  <si>
    <t>Bias / fairness</t>
  </si>
  <si>
    <t>Error risk</t>
  </si>
  <si>
    <t>Practitioner Questionnaire Analysis – Updated</t>
  </si>
  <si>
    <t>Key metric</t>
  </si>
  <si>
    <t>Valid consenting responses</t>
  </si>
  <si>
    <t>Q11 open responses</t>
  </si>
  <si>
    <t>Q12 open responses</t>
  </si>
  <si>
    <t>Mean ML familiarity</t>
  </si>
  <si>
    <t>Highest agreement items</t>
  </si>
  <si>
    <t>Agree + Strongly agree</t>
  </si>
  <si>
    <t>Q10 Human review</t>
  </si>
  <si>
    <t>Q8 False negatives</t>
  </si>
  <si>
    <t>Q2 Trust and opacity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</si>
</sst>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5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rgb="FF000000"/>
      <name val="Carlito"/>
    </font>
    <font>
      <b/>
      <sz val="14.0"/>
      <color rgb="FFFFFFFF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17365D"/>
        <bgColor rgb="FF17365D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top"/>
    </xf>
    <xf borderId="0" fillId="2" fontId="1" numFmtId="0" xfId="0" applyAlignment="1" applyFill="1" applyFont="1">
      <alignment horizontal="center"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vertical="top"/>
    </xf>
    <xf borderId="0" fillId="0" fontId="2" numFmtId="2" xfId="0" applyAlignment="1" applyFont="1" applyNumberFormat="1">
      <alignment vertical="top"/>
    </xf>
    <xf borderId="0" fillId="0" fontId="2" numFmtId="1" xfId="0" applyAlignment="1" applyFont="1" applyNumberFormat="1">
      <alignment vertical="top"/>
    </xf>
    <xf borderId="0" fillId="3" fontId="3" numFmtId="0" xfId="0" applyAlignment="1" applyFill="1" applyFont="1">
      <alignment horizontal="center" vertical="top"/>
    </xf>
    <xf borderId="0" fillId="2" fontId="1" numFmtId="0" xfId="0" applyAlignment="1" applyFill="1" applyFont="1">
      <alignment horizontal="center" vertical="center"/>
    </xf>
    <xf borderId="0" fillId="4" fontId="4" numFmtId="0" xfId="0" applyAlignment="1" applyFill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Mean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'Likert Summary'!$A$2:$A$11</c:f>
            </c:strRef>
          </c:cat>
          <c:val>
            <c:numRef>
              <c:f>'Likert Summary'!$H$2:$H$11</c:f>
              <c:numCache/>
            </c:numRef>
          </c:val>
        </c:ser>
        <c:axId val="1994393344"/>
        <c:axId val="1359630864"/>
      </c:barChart>
      <c:catAx>
        <c:axId val="199439334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59630864"/>
      </c:catAx>
      <c:valAx>
        <c:axId val="13596308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score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4393344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Agree + Strongly agree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'Likert Summary'!$A$2:$A$11</c:f>
            </c:strRef>
          </c:cat>
          <c:val>
            <c:numRef>
              <c:f>'Likert Summary'!$G$2:$G$11</c:f>
              <c:numCache/>
            </c:numRef>
          </c:val>
        </c:ser>
        <c:axId val="548970318"/>
        <c:axId val="98633304"/>
      </c:barChart>
      <c:catAx>
        <c:axId val="54897031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Question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8633304"/>
      </c:catAx>
      <c:valAx>
        <c:axId val="98633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Agreement</a:t>
                </a:r>
              </a:p>
            </c:rich>
          </c:tx>
          <c:overlay val="0"/>
        </c:title>
        <c:numFmt formatCode="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8970318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varyColors val="0"/>
        <c:ser>
          <c:idx val="0"/>
          <c:order val="0"/>
          <c:tx>
            <c:v>Responses</c:v>
          </c:tx>
          <c:spPr>
            <a:solidFill>
              <a:schemeClr val="accent1"/>
            </a:solidFill>
            <a:ln cmpd="sng">
              <a:noFill/>
            </a:ln>
          </c:spPr>
          <c:invertIfNegative val="0"/>
          <c:cat>
            <c:strRef>
              <c:f>'Participant Summary'!$A$2:$A$6</c:f>
            </c:strRef>
          </c:cat>
          <c:val>
            <c:numRef>
              <c:f>'Participant Summary'!$B$2:$B$6</c:f>
              <c:numCache/>
            </c:numRef>
          </c:val>
        </c:ser>
        <c:axId val="1866861026"/>
        <c:axId val="203519873"/>
      </c:barChart>
      <c:catAx>
        <c:axId val="18668610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3519873"/>
      </c:catAx>
      <c:valAx>
        <c:axId val="20351987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</a:t>
                </a:r>
              </a:p>
            </c:rich>
          </c:tx>
          <c:overlay val="0"/>
        </c:title>
        <c:numFmt formatCode="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66861026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13</xdr:row>
      <xdr:rowOff>0</xdr:rowOff>
    </xdr:from>
    <xdr:ext cx="11458575" cy="34004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3</xdr:row>
      <xdr:rowOff>0</xdr:rowOff>
    </xdr:from>
    <xdr:ext cx="5915025" cy="300037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3</xdr:col>
      <xdr:colOff>0</xdr:colOff>
      <xdr:row>19</xdr:row>
      <xdr:rowOff>0</xdr:rowOff>
    </xdr:from>
    <xdr:ext cx="5915025" cy="300037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10.0"/>
    <col customWidth="1" min="3" max="3" width="28.0"/>
    <col customWidth="1" min="4" max="4" width="18.0"/>
    <col customWidth="1" min="5" max="5" width="14.0"/>
    <col customWidth="1" min="6" max="15" width="18.0"/>
    <col customWidth="1" min="16" max="17" width="42.0"/>
    <col customWidth="1" min="18" max="26" width="8.63"/>
  </cols>
  <sheetData>
    <row r="1" ht="21.75" customHeight="1">
      <c r="A1" s="2" t="s">
        <v>1</v>
      </c>
      <c r="B1" s="2" t="s">
        <v>11</v>
      </c>
      <c r="C1" s="2" t="s">
        <v>13</v>
      </c>
      <c r="D1" s="2" t="s">
        <v>15</v>
      </c>
      <c r="E1" s="2" t="s">
        <v>17</v>
      </c>
      <c r="F1" s="2" t="s">
        <v>3</v>
      </c>
      <c r="G1" s="2" t="s">
        <v>4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12</v>
      </c>
      <c r="N1" s="2" t="s">
        <v>14</v>
      </c>
      <c r="O1" s="2" t="s">
        <v>16</v>
      </c>
      <c r="P1" s="2" t="s">
        <v>19</v>
      </c>
      <c r="Q1" s="2" t="s">
        <v>21</v>
      </c>
      <c r="R1" s="3"/>
      <c r="S1" s="3"/>
      <c r="T1" s="3"/>
      <c r="U1" s="3"/>
      <c r="V1" s="3"/>
      <c r="W1" s="3"/>
      <c r="X1" s="3"/>
      <c r="Y1" s="3"/>
      <c r="Z1" s="3"/>
    </row>
    <row r="2" ht="43.5" customHeight="1">
      <c r="A2" s="5" t="s">
        <v>23</v>
      </c>
      <c r="B2" s="4" t="s">
        <v>25</v>
      </c>
      <c r="C2" s="4" t="s">
        <v>26</v>
      </c>
      <c r="D2" s="4" t="s">
        <v>28</v>
      </c>
      <c r="E2" s="4">
        <v>4.0</v>
      </c>
      <c r="F2" s="4" t="s">
        <v>29</v>
      </c>
      <c r="G2" s="4" t="s">
        <v>29</v>
      </c>
      <c r="H2" s="4" t="s">
        <v>30</v>
      </c>
      <c r="I2" s="4" t="s">
        <v>30</v>
      </c>
      <c r="J2" s="4" t="s">
        <v>29</v>
      </c>
      <c r="K2" s="4" t="s">
        <v>29</v>
      </c>
      <c r="L2" s="4" t="s">
        <v>29</v>
      </c>
      <c r="M2" s="4" t="s">
        <v>30</v>
      </c>
      <c r="N2" s="4" t="s">
        <v>29</v>
      </c>
      <c r="O2" s="4" t="s">
        <v>29</v>
      </c>
      <c r="P2" s="4"/>
      <c r="Q2" s="4"/>
      <c r="R2" s="3"/>
      <c r="S2" s="3"/>
      <c r="T2" s="3"/>
      <c r="U2" s="3"/>
      <c r="V2" s="3"/>
      <c r="W2" s="3"/>
      <c r="X2" s="3"/>
      <c r="Y2" s="3"/>
      <c r="Z2" s="3"/>
    </row>
    <row r="3" ht="43.5" customHeight="1">
      <c r="A3" s="5" t="s">
        <v>23</v>
      </c>
      <c r="B3" s="4" t="s">
        <v>25</v>
      </c>
      <c r="C3" s="4" t="s">
        <v>32</v>
      </c>
      <c r="D3" s="4" t="s">
        <v>33</v>
      </c>
      <c r="E3" s="4">
        <v>5.0</v>
      </c>
      <c r="F3" s="4" t="s">
        <v>29</v>
      </c>
      <c r="G3" s="4" t="s">
        <v>29</v>
      </c>
      <c r="H3" s="4" t="s">
        <v>29</v>
      </c>
      <c r="I3" s="4" t="s">
        <v>35</v>
      </c>
      <c r="J3" s="4" t="s">
        <v>29</v>
      </c>
      <c r="K3" s="4" t="s">
        <v>29</v>
      </c>
      <c r="L3" s="4" t="s">
        <v>29</v>
      </c>
      <c r="M3" s="4" t="s">
        <v>30</v>
      </c>
      <c r="N3" s="4" t="s">
        <v>30</v>
      </c>
      <c r="O3" s="4" t="s">
        <v>30</v>
      </c>
      <c r="P3" s="4" t="s">
        <v>36</v>
      </c>
      <c r="Q3" s="4"/>
      <c r="R3" s="3"/>
      <c r="S3" s="3"/>
      <c r="T3" s="3"/>
      <c r="U3" s="3"/>
      <c r="V3" s="3"/>
      <c r="W3" s="3"/>
      <c r="X3" s="3"/>
      <c r="Y3" s="3"/>
      <c r="Z3" s="3"/>
    </row>
    <row r="4" ht="43.5" customHeight="1">
      <c r="A4" s="5" t="s">
        <v>23</v>
      </c>
      <c r="B4" s="4" t="s">
        <v>25</v>
      </c>
      <c r="C4" s="4" t="s">
        <v>38</v>
      </c>
      <c r="D4" s="4" t="s">
        <v>39</v>
      </c>
      <c r="E4" s="4">
        <v>1.0</v>
      </c>
      <c r="F4" s="4" t="s">
        <v>29</v>
      </c>
      <c r="G4" s="4" t="s">
        <v>29</v>
      </c>
      <c r="H4" s="4" t="s">
        <v>35</v>
      </c>
      <c r="I4" s="4" t="s">
        <v>29</v>
      </c>
      <c r="J4" s="4" t="s">
        <v>29</v>
      </c>
      <c r="K4" s="4" t="s">
        <v>29</v>
      </c>
      <c r="L4" s="4" t="s">
        <v>30</v>
      </c>
      <c r="M4" s="4" t="s">
        <v>29</v>
      </c>
      <c r="N4" s="4" t="s">
        <v>29</v>
      </c>
      <c r="O4" s="4" t="s">
        <v>30</v>
      </c>
      <c r="P4" s="4"/>
      <c r="Q4" s="4"/>
      <c r="R4" s="3"/>
      <c r="S4" s="3"/>
      <c r="T4" s="3"/>
      <c r="U4" s="3"/>
      <c r="V4" s="3"/>
      <c r="W4" s="3"/>
      <c r="X4" s="3"/>
      <c r="Y4" s="3"/>
      <c r="Z4" s="3"/>
    </row>
    <row r="5" ht="43.5" customHeight="1">
      <c r="A5" s="5" t="s">
        <v>23</v>
      </c>
      <c r="B5" s="4" t="s">
        <v>25</v>
      </c>
      <c r="C5" s="4" t="s">
        <v>41</v>
      </c>
      <c r="D5" s="4" t="s">
        <v>33</v>
      </c>
      <c r="E5" s="4">
        <v>4.0</v>
      </c>
      <c r="F5" s="4" t="s">
        <v>29</v>
      </c>
      <c r="G5" s="4" t="s">
        <v>29</v>
      </c>
      <c r="H5" s="4" t="s">
        <v>30</v>
      </c>
      <c r="I5" s="4" t="s">
        <v>30</v>
      </c>
      <c r="J5" s="4" t="s">
        <v>29</v>
      </c>
      <c r="K5" s="4" t="s">
        <v>30</v>
      </c>
      <c r="L5" s="4" t="s">
        <v>29</v>
      </c>
      <c r="M5" s="4" t="s">
        <v>30</v>
      </c>
      <c r="N5" s="4" t="s">
        <v>29</v>
      </c>
      <c r="O5" s="4" t="s">
        <v>30</v>
      </c>
      <c r="P5" s="4" t="s">
        <v>43</v>
      </c>
      <c r="Q5" s="4" t="s">
        <v>44</v>
      </c>
      <c r="R5" s="3"/>
      <c r="S5" s="3"/>
      <c r="T5" s="3"/>
      <c r="U5" s="3"/>
      <c r="V5" s="3"/>
      <c r="W5" s="3"/>
      <c r="X5" s="3"/>
      <c r="Y5" s="3"/>
      <c r="Z5" s="3"/>
    </row>
    <row r="6" ht="43.5" customHeight="1">
      <c r="A6" s="5" t="s">
        <v>23</v>
      </c>
      <c r="B6" s="4" t="s">
        <v>25</v>
      </c>
      <c r="C6" s="4" t="s">
        <v>47</v>
      </c>
      <c r="D6" s="4" t="s">
        <v>48</v>
      </c>
      <c r="E6" s="4">
        <v>3.0</v>
      </c>
      <c r="F6" s="4" t="s">
        <v>35</v>
      </c>
      <c r="G6" s="4" t="s">
        <v>29</v>
      </c>
      <c r="H6" s="4" t="s">
        <v>50</v>
      </c>
      <c r="I6" s="4" t="s">
        <v>29</v>
      </c>
      <c r="J6" s="4" t="s">
        <v>35</v>
      </c>
      <c r="K6" s="4" t="s">
        <v>35</v>
      </c>
      <c r="L6" s="4" t="s">
        <v>29</v>
      </c>
      <c r="M6" s="4" t="s">
        <v>29</v>
      </c>
      <c r="N6" s="4" t="s">
        <v>29</v>
      </c>
      <c r="O6" s="4" t="s">
        <v>30</v>
      </c>
      <c r="P6" s="4" t="s">
        <v>52</v>
      </c>
      <c r="Q6" s="4" t="s">
        <v>53</v>
      </c>
      <c r="R6" s="3"/>
      <c r="S6" s="3"/>
      <c r="T6" s="3"/>
      <c r="U6" s="3"/>
      <c r="V6" s="3"/>
      <c r="W6" s="3"/>
      <c r="X6" s="3"/>
      <c r="Y6" s="3"/>
      <c r="Z6" s="3"/>
    </row>
    <row r="7" ht="43.5" customHeight="1">
      <c r="A7" s="5" t="s">
        <v>23</v>
      </c>
      <c r="B7" s="4" t="s">
        <v>25</v>
      </c>
      <c r="C7" s="4" t="s">
        <v>41</v>
      </c>
      <c r="D7" s="4" t="s">
        <v>54</v>
      </c>
      <c r="E7" s="4">
        <v>3.0</v>
      </c>
      <c r="F7" s="4" t="s">
        <v>29</v>
      </c>
      <c r="G7" s="4" t="s">
        <v>30</v>
      </c>
      <c r="H7" s="4" t="s">
        <v>29</v>
      </c>
      <c r="I7" s="4" t="s">
        <v>29</v>
      </c>
      <c r="J7" s="4" t="s">
        <v>29</v>
      </c>
      <c r="K7" s="4" t="s">
        <v>29</v>
      </c>
      <c r="L7" s="4" t="s">
        <v>29</v>
      </c>
      <c r="M7" s="4" t="s">
        <v>29</v>
      </c>
      <c r="N7" s="4" t="s">
        <v>29</v>
      </c>
      <c r="O7" s="4" t="s">
        <v>29</v>
      </c>
      <c r="P7" s="4"/>
      <c r="Q7" s="4"/>
      <c r="R7" s="3"/>
      <c r="S7" s="3"/>
      <c r="T7" s="3"/>
      <c r="U7" s="3"/>
      <c r="V7" s="3"/>
      <c r="W7" s="3"/>
      <c r="X7" s="3"/>
      <c r="Y7" s="3"/>
      <c r="Z7" s="3"/>
    </row>
    <row r="8" ht="43.5" customHeight="1">
      <c r="A8" s="5" t="s">
        <v>23</v>
      </c>
      <c r="B8" s="4" t="s">
        <v>25</v>
      </c>
      <c r="C8" s="4" t="s">
        <v>32</v>
      </c>
      <c r="D8" s="4" t="s">
        <v>54</v>
      </c>
      <c r="E8" s="4">
        <v>4.0</v>
      </c>
      <c r="F8" s="4" t="s">
        <v>35</v>
      </c>
      <c r="G8" s="4" t="s">
        <v>30</v>
      </c>
      <c r="H8" s="4" t="s">
        <v>30</v>
      </c>
      <c r="I8" s="4" t="s">
        <v>29</v>
      </c>
      <c r="J8" s="4" t="s">
        <v>35</v>
      </c>
      <c r="K8" s="4" t="s">
        <v>30</v>
      </c>
      <c r="L8" s="4" t="s">
        <v>29</v>
      </c>
      <c r="M8" s="4" t="s">
        <v>30</v>
      </c>
      <c r="N8" s="4" t="s">
        <v>29</v>
      </c>
      <c r="O8" s="4" t="s">
        <v>30</v>
      </c>
      <c r="P8" s="4" t="s">
        <v>55</v>
      </c>
      <c r="Q8" s="4" t="s">
        <v>56</v>
      </c>
      <c r="R8" s="3"/>
      <c r="S8" s="3"/>
      <c r="T8" s="3"/>
      <c r="U8" s="3"/>
      <c r="V8" s="3"/>
      <c r="W8" s="3"/>
      <c r="X8" s="3"/>
      <c r="Y8" s="3"/>
      <c r="Z8" s="3"/>
    </row>
    <row r="9" ht="43.5" customHeight="1">
      <c r="A9" s="5" t="s">
        <v>23</v>
      </c>
      <c r="B9" s="4" t="s">
        <v>25</v>
      </c>
      <c r="C9" s="4" t="s">
        <v>41</v>
      </c>
      <c r="D9" s="4" t="s">
        <v>48</v>
      </c>
      <c r="E9" s="4">
        <v>2.0</v>
      </c>
      <c r="F9" s="4" t="s">
        <v>29</v>
      </c>
      <c r="G9" s="4" t="s">
        <v>35</v>
      </c>
      <c r="H9" s="4" t="s">
        <v>29</v>
      </c>
      <c r="I9" s="4" t="s">
        <v>35</v>
      </c>
      <c r="J9" s="4" t="s">
        <v>29</v>
      </c>
      <c r="K9" s="4" t="s">
        <v>29</v>
      </c>
      <c r="L9" s="4" t="s">
        <v>50</v>
      </c>
      <c r="M9" s="4" t="s">
        <v>35</v>
      </c>
      <c r="N9" s="4" t="s">
        <v>29</v>
      </c>
      <c r="O9" s="4" t="s">
        <v>29</v>
      </c>
      <c r="P9" s="4"/>
      <c r="Q9" s="4"/>
      <c r="R9" s="3"/>
      <c r="S9" s="3"/>
      <c r="T9" s="3"/>
      <c r="U9" s="3"/>
      <c r="V9" s="3"/>
      <c r="W9" s="3"/>
      <c r="X9" s="3"/>
      <c r="Y9" s="3"/>
      <c r="Z9" s="3"/>
    </row>
    <row r="10" ht="43.5" customHeight="1">
      <c r="A10" s="5" t="s">
        <v>23</v>
      </c>
      <c r="B10" s="4" t="s">
        <v>25</v>
      </c>
      <c r="C10" s="4" t="s">
        <v>26</v>
      </c>
      <c r="D10" s="4" t="s">
        <v>39</v>
      </c>
      <c r="E10" s="4">
        <v>4.0</v>
      </c>
      <c r="F10" s="4" t="s">
        <v>30</v>
      </c>
      <c r="G10" s="4" t="s">
        <v>29</v>
      </c>
      <c r="H10" s="4" t="s">
        <v>29</v>
      </c>
      <c r="I10" s="4" t="s">
        <v>29</v>
      </c>
      <c r="J10" s="4" t="s">
        <v>35</v>
      </c>
      <c r="K10" s="4" t="s">
        <v>29</v>
      </c>
      <c r="L10" s="4" t="s">
        <v>29</v>
      </c>
      <c r="M10" s="4" t="s">
        <v>30</v>
      </c>
      <c r="N10" s="4" t="s">
        <v>30</v>
      </c>
      <c r="O10" s="4" t="s">
        <v>30</v>
      </c>
      <c r="P10" s="4"/>
      <c r="Q10" s="4"/>
      <c r="R10" s="3"/>
      <c r="S10" s="3"/>
      <c r="T10" s="3"/>
      <c r="U10" s="3"/>
      <c r="V10" s="3"/>
      <c r="W10" s="3"/>
      <c r="X10" s="3"/>
      <c r="Y10" s="3"/>
      <c r="Z10" s="3"/>
    </row>
    <row r="11" ht="43.5" customHeight="1">
      <c r="A11" s="5" t="s">
        <v>23</v>
      </c>
      <c r="B11" s="4" t="s">
        <v>25</v>
      </c>
      <c r="C11" s="4" t="s">
        <v>41</v>
      </c>
      <c r="D11" s="4" t="s">
        <v>39</v>
      </c>
      <c r="E11" s="4">
        <v>5.0</v>
      </c>
      <c r="F11" s="4" t="s">
        <v>29</v>
      </c>
      <c r="G11" s="4" t="s">
        <v>29</v>
      </c>
      <c r="H11" s="4" t="s">
        <v>29</v>
      </c>
      <c r="I11" s="4" t="s">
        <v>29</v>
      </c>
      <c r="J11" s="4" t="s">
        <v>35</v>
      </c>
      <c r="K11" s="4" t="s">
        <v>30</v>
      </c>
      <c r="L11" s="4" t="s">
        <v>35</v>
      </c>
      <c r="M11" s="4" t="s">
        <v>29</v>
      </c>
      <c r="N11" s="4" t="s">
        <v>30</v>
      </c>
      <c r="O11" s="4" t="s">
        <v>29</v>
      </c>
      <c r="P11" s="4" t="s">
        <v>57</v>
      </c>
      <c r="Q11" s="4" t="s">
        <v>58</v>
      </c>
      <c r="R11" s="3"/>
      <c r="S11" s="3"/>
      <c r="T11" s="3"/>
      <c r="U11" s="3"/>
      <c r="V11" s="3"/>
      <c r="W11" s="3"/>
      <c r="X11" s="3"/>
      <c r="Y11" s="3"/>
      <c r="Z11" s="3"/>
    </row>
    <row r="12" ht="43.5" customHeight="1">
      <c r="A12" s="5" t="s">
        <v>23</v>
      </c>
      <c r="B12" s="4" t="s">
        <v>25</v>
      </c>
      <c r="C12" s="4" t="s">
        <v>47</v>
      </c>
      <c r="D12" s="4" t="s">
        <v>54</v>
      </c>
      <c r="E12" s="4">
        <v>5.0</v>
      </c>
      <c r="F12" s="4" t="s">
        <v>35</v>
      </c>
      <c r="G12" s="4" t="s">
        <v>35</v>
      </c>
      <c r="H12" s="4" t="s">
        <v>35</v>
      </c>
      <c r="I12" s="4" t="s">
        <v>35</v>
      </c>
      <c r="J12" s="4" t="s">
        <v>35</v>
      </c>
      <c r="K12" s="4" t="s">
        <v>35</v>
      </c>
      <c r="L12" s="4" t="s">
        <v>35</v>
      </c>
      <c r="M12" s="4" t="s">
        <v>35</v>
      </c>
      <c r="N12" s="4" t="s">
        <v>35</v>
      </c>
      <c r="O12" s="4" t="s">
        <v>35</v>
      </c>
      <c r="P12" s="4"/>
      <c r="Q12" s="4"/>
      <c r="R12" s="3"/>
      <c r="S12" s="3"/>
      <c r="T12" s="3"/>
      <c r="U12" s="3"/>
      <c r="V12" s="3"/>
      <c r="W12" s="3"/>
      <c r="X12" s="3"/>
      <c r="Y12" s="3"/>
      <c r="Z12" s="3"/>
    </row>
    <row r="13" ht="43.5" customHeight="1">
      <c r="A13" s="5" t="s">
        <v>23</v>
      </c>
      <c r="B13" s="4" t="s">
        <v>25</v>
      </c>
      <c r="C13" s="4" t="s">
        <v>41</v>
      </c>
      <c r="D13" s="4" t="s">
        <v>54</v>
      </c>
      <c r="E13" s="4">
        <v>4.0</v>
      </c>
      <c r="F13" s="4" t="s">
        <v>29</v>
      </c>
      <c r="G13" s="4" t="s">
        <v>35</v>
      </c>
      <c r="H13" s="4" t="s">
        <v>35</v>
      </c>
      <c r="I13" s="4" t="s">
        <v>35</v>
      </c>
      <c r="J13" s="4" t="s">
        <v>35</v>
      </c>
      <c r="K13" s="4" t="s">
        <v>35</v>
      </c>
      <c r="L13" s="4" t="s">
        <v>35</v>
      </c>
      <c r="M13" s="4" t="s">
        <v>35</v>
      </c>
      <c r="N13" s="4" t="s">
        <v>35</v>
      </c>
      <c r="O13" s="4" t="s">
        <v>29</v>
      </c>
      <c r="P13" s="4"/>
      <c r="Q13" s="4"/>
      <c r="R13" s="3"/>
      <c r="S13" s="3"/>
      <c r="T13" s="3"/>
      <c r="U13" s="3"/>
      <c r="V13" s="3"/>
      <c r="W13" s="3"/>
      <c r="X13" s="3"/>
      <c r="Y13" s="3"/>
      <c r="Z13" s="3"/>
    </row>
    <row r="14" ht="43.5" customHeight="1">
      <c r="A14" s="5" t="s">
        <v>23</v>
      </c>
      <c r="B14" s="4" t="s">
        <v>25</v>
      </c>
      <c r="C14" s="4" t="s">
        <v>41</v>
      </c>
      <c r="D14" s="4" t="s">
        <v>33</v>
      </c>
      <c r="E14" s="4">
        <v>5.0</v>
      </c>
      <c r="F14" s="4" t="s">
        <v>35</v>
      </c>
      <c r="G14" s="4" t="s">
        <v>30</v>
      </c>
      <c r="H14" s="4" t="s">
        <v>29</v>
      </c>
      <c r="I14" s="4" t="s">
        <v>35</v>
      </c>
      <c r="J14" s="4" t="s">
        <v>35</v>
      </c>
      <c r="K14" s="4" t="s">
        <v>29</v>
      </c>
      <c r="L14" s="4" t="s">
        <v>29</v>
      </c>
      <c r="M14" s="4" t="s">
        <v>30</v>
      </c>
      <c r="N14" s="4" t="s">
        <v>30</v>
      </c>
      <c r="O14" s="4" t="s">
        <v>29</v>
      </c>
      <c r="P14" s="4"/>
      <c r="Q14" s="4"/>
      <c r="R14" s="3"/>
      <c r="S14" s="3"/>
      <c r="T14" s="3"/>
      <c r="U14" s="3"/>
      <c r="V14" s="3"/>
      <c r="W14" s="3"/>
      <c r="X14" s="3"/>
      <c r="Y14" s="3"/>
      <c r="Z14" s="3"/>
    </row>
    <row r="15" ht="43.5" customHeight="1">
      <c r="A15" s="5" t="s">
        <v>23</v>
      </c>
      <c r="B15" s="4" t="s">
        <v>25</v>
      </c>
      <c r="C15" s="4" t="s">
        <v>41</v>
      </c>
      <c r="D15" s="4" t="s">
        <v>48</v>
      </c>
      <c r="E15" s="4">
        <v>4.0</v>
      </c>
      <c r="F15" s="4" t="s">
        <v>30</v>
      </c>
      <c r="G15" s="4" t="s">
        <v>30</v>
      </c>
      <c r="H15" s="4" t="s">
        <v>30</v>
      </c>
      <c r="I15" s="4" t="s">
        <v>50</v>
      </c>
      <c r="J15" s="4" t="s">
        <v>30</v>
      </c>
      <c r="K15" s="4" t="s">
        <v>30</v>
      </c>
      <c r="L15" s="4" t="s">
        <v>30</v>
      </c>
      <c r="M15" s="4" t="s">
        <v>30</v>
      </c>
      <c r="N15" s="4" t="s">
        <v>30</v>
      </c>
      <c r="O15" s="4" t="s">
        <v>30</v>
      </c>
      <c r="P15" s="4"/>
      <c r="Q15" s="4"/>
      <c r="R15" s="3"/>
      <c r="S15" s="3"/>
      <c r="T15" s="3"/>
      <c r="U15" s="3"/>
      <c r="V15" s="3"/>
      <c r="W15" s="3"/>
      <c r="X15" s="3"/>
      <c r="Y15" s="3"/>
      <c r="Z15" s="3"/>
    </row>
    <row r="16" ht="43.5" customHeight="1">
      <c r="A16" s="5" t="s">
        <v>23</v>
      </c>
      <c r="B16" s="4" t="s">
        <v>25</v>
      </c>
      <c r="C16" s="4" t="s">
        <v>41</v>
      </c>
      <c r="D16" s="4" t="s">
        <v>48</v>
      </c>
      <c r="E16" s="4">
        <v>5.0</v>
      </c>
      <c r="F16" s="4" t="s">
        <v>29</v>
      </c>
      <c r="G16" s="4" t="s">
        <v>29</v>
      </c>
      <c r="H16" s="4" t="s">
        <v>30</v>
      </c>
      <c r="I16" s="4" t="s">
        <v>50</v>
      </c>
      <c r="J16" s="4" t="s">
        <v>30</v>
      </c>
      <c r="K16" s="4" t="s">
        <v>30</v>
      </c>
      <c r="L16" s="4" t="s">
        <v>30</v>
      </c>
      <c r="M16" s="4" t="s">
        <v>30</v>
      </c>
      <c r="N16" s="4" t="s">
        <v>30</v>
      </c>
      <c r="O16" s="4" t="s">
        <v>30</v>
      </c>
      <c r="P16" s="4"/>
      <c r="Q16" s="4"/>
      <c r="R16" s="3"/>
      <c r="S16" s="3"/>
      <c r="T16" s="3"/>
      <c r="U16" s="3"/>
      <c r="V16" s="3"/>
      <c r="W16" s="3"/>
      <c r="X16" s="3"/>
      <c r="Y16" s="3"/>
      <c r="Z16" s="3"/>
    </row>
    <row r="17" ht="43.5" customHeight="1">
      <c r="A17" s="5" t="s">
        <v>23</v>
      </c>
      <c r="B17" s="4" t="s">
        <v>25</v>
      </c>
      <c r="C17" s="4" t="s">
        <v>47</v>
      </c>
      <c r="D17" s="4" t="s">
        <v>54</v>
      </c>
      <c r="E17" s="4">
        <v>3.0</v>
      </c>
      <c r="F17" s="4" t="s">
        <v>35</v>
      </c>
      <c r="G17" s="4" t="s">
        <v>30</v>
      </c>
      <c r="H17" s="4" t="s">
        <v>30</v>
      </c>
      <c r="I17" s="4" t="s">
        <v>35</v>
      </c>
      <c r="J17" s="4" t="s">
        <v>29</v>
      </c>
      <c r="K17" s="4" t="s">
        <v>29</v>
      </c>
      <c r="L17" s="4" t="s">
        <v>29</v>
      </c>
      <c r="M17" s="4" t="s">
        <v>29</v>
      </c>
      <c r="N17" s="4" t="s">
        <v>50</v>
      </c>
      <c r="O17" s="4" t="s">
        <v>30</v>
      </c>
      <c r="P17" s="4"/>
      <c r="Q17" s="4"/>
      <c r="R17" s="3"/>
      <c r="S17" s="3"/>
      <c r="T17" s="3"/>
      <c r="U17" s="3"/>
      <c r="V17" s="3"/>
      <c r="W17" s="3"/>
      <c r="X17" s="3"/>
      <c r="Y17" s="3"/>
      <c r="Z17" s="3"/>
    </row>
    <row r="18" ht="43.5" customHeight="1">
      <c r="A18" s="5" t="s">
        <v>23</v>
      </c>
      <c r="B18" s="4" t="s">
        <v>25</v>
      </c>
      <c r="C18" s="4" t="s">
        <v>41</v>
      </c>
      <c r="D18" s="4" t="s">
        <v>33</v>
      </c>
      <c r="E18" s="4">
        <v>5.0</v>
      </c>
      <c r="F18" s="4" t="s">
        <v>59</v>
      </c>
      <c r="G18" s="4" t="s">
        <v>30</v>
      </c>
      <c r="H18" s="4" t="s">
        <v>30</v>
      </c>
      <c r="I18" s="4" t="s">
        <v>35</v>
      </c>
      <c r="J18" s="4" t="s">
        <v>30</v>
      </c>
      <c r="K18" s="4" t="s">
        <v>30</v>
      </c>
      <c r="L18" s="4" t="s">
        <v>35</v>
      </c>
      <c r="M18" s="4" t="s">
        <v>30</v>
      </c>
      <c r="N18" s="4" t="s">
        <v>30</v>
      </c>
      <c r="O18" s="4" t="s">
        <v>30</v>
      </c>
      <c r="P18" s="4"/>
      <c r="Q18" s="4"/>
      <c r="R18" s="3"/>
      <c r="S18" s="3"/>
      <c r="T18" s="3"/>
      <c r="U18" s="3"/>
      <c r="V18" s="3"/>
      <c r="W18" s="3"/>
      <c r="X18" s="3"/>
      <c r="Y18" s="3"/>
      <c r="Z18" s="3"/>
    </row>
    <row r="19" ht="43.5" customHeight="1">
      <c r="A19" s="5" t="s">
        <v>23</v>
      </c>
      <c r="B19" s="4" t="s">
        <v>25</v>
      </c>
      <c r="C19" s="4" t="s">
        <v>26</v>
      </c>
      <c r="D19" s="4" t="s">
        <v>39</v>
      </c>
      <c r="E19" s="4">
        <v>3.0</v>
      </c>
      <c r="F19" s="4" t="s">
        <v>35</v>
      </c>
      <c r="G19" s="4" t="s">
        <v>29</v>
      </c>
      <c r="H19" s="4" t="s">
        <v>29</v>
      </c>
      <c r="I19" s="4" t="s">
        <v>35</v>
      </c>
      <c r="J19" s="4" t="s">
        <v>35</v>
      </c>
      <c r="K19" s="4" t="s">
        <v>29</v>
      </c>
      <c r="L19" s="4" t="s">
        <v>30</v>
      </c>
      <c r="M19" s="4" t="s">
        <v>30</v>
      </c>
      <c r="N19" s="4" t="s">
        <v>29</v>
      </c>
      <c r="O19" s="4" t="s">
        <v>30</v>
      </c>
      <c r="P19" s="4" t="s">
        <v>60</v>
      </c>
      <c r="Q19" s="4" t="s">
        <v>61</v>
      </c>
      <c r="R19" s="3"/>
      <c r="S19" s="3"/>
      <c r="T19" s="3"/>
      <c r="U19" s="3"/>
      <c r="V19" s="3"/>
      <c r="W19" s="3"/>
      <c r="X19" s="3"/>
      <c r="Y19" s="3"/>
      <c r="Z19" s="3"/>
    </row>
    <row r="20" ht="43.5" customHeight="1">
      <c r="A20" s="5" t="s">
        <v>23</v>
      </c>
      <c r="B20" s="4" t="s">
        <v>25</v>
      </c>
      <c r="C20" s="4" t="s">
        <v>41</v>
      </c>
      <c r="D20" s="4" t="s">
        <v>48</v>
      </c>
      <c r="E20" s="4">
        <v>5.0</v>
      </c>
      <c r="F20" s="4" t="s">
        <v>30</v>
      </c>
      <c r="G20" s="4" t="s">
        <v>29</v>
      </c>
      <c r="H20" s="4" t="s">
        <v>30</v>
      </c>
      <c r="I20" s="4" t="s">
        <v>35</v>
      </c>
      <c r="J20" s="4" t="s">
        <v>29</v>
      </c>
      <c r="K20" s="4" t="s">
        <v>29</v>
      </c>
      <c r="L20" s="4" t="s">
        <v>30</v>
      </c>
      <c r="M20" s="4" t="s">
        <v>29</v>
      </c>
      <c r="N20" s="4" t="s">
        <v>30</v>
      </c>
      <c r="O20" s="4" t="s">
        <v>30</v>
      </c>
      <c r="P20" s="4" t="s">
        <v>62</v>
      </c>
      <c r="Q20" s="4" t="s">
        <v>63</v>
      </c>
      <c r="R20" s="3"/>
      <c r="S20" s="3"/>
      <c r="T20" s="3"/>
      <c r="U20" s="3"/>
      <c r="V20" s="3"/>
      <c r="W20" s="3"/>
      <c r="X20" s="3"/>
      <c r="Y20" s="3"/>
      <c r="Z20" s="3"/>
    </row>
    <row r="21" ht="43.5" customHeight="1">
      <c r="A21" s="5" t="s">
        <v>23</v>
      </c>
      <c r="B21" s="4" t="s">
        <v>25</v>
      </c>
      <c r="C21" s="4" t="s">
        <v>47</v>
      </c>
      <c r="D21" s="4" t="s">
        <v>39</v>
      </c>
      <c r="E21" s="4">
        <v>4.0</v>
      </c>
      <c r="F21" s="4" t="s">
        <v>29</v>
      </c>
      <c r="G21" s="4" t="s">
        <v>29</v>
      </c>
      <c r="H21" s="4" t="s">
        <v>30</v>
      </c>
      <c r="I21" s="4" t="s">
        <v>29</v>
      </c>
      <c r="J21" s="4" t="s">
        <v>35</v>
      </c>
      <c r="K21" s="4" t="s">
        <v>30</v>
      </c>
      <c r="L21" s="4" t="s">
        <v>35</v>
      </c>
      <c r="M21" s="4" t="s">
        <v>29</v>
      </c>
      <c r="N21" s="4" t="s">
        <v>35</v>
      </c>
      <c r="O21" s="4" t="s">
        <v>35</v>
      </c>
      <c r="P21" s="4"/>
      <c r="Q21" s="4"/>
      <c r="R21" s="3"/>
      <c r="S21" s="3"/>
      <c r="T21" s="3"/>
      <c r="U21" s="3"/>
      <c r="V21" s="3"/>
      <c r="W21" s="3"/>
      <c r="X21" s="3"/>
      <c r="Y21" s="3"/>
      <c r="Z21" s="3"/>
    </row>
    <row r="22" ht="43.5" customHeight="1">
      <c r="A22" s="5" t="s">
        <v>23</v>
      </c>
      <c r="B22" s="4" t="s">
        <v>25</v>
      </c>
      <c r="C22" s="4" t="s">
        <v>32</v>
      </c>
      <c r="D22" s="4" t="s">
        <v>28</v>
      </c>
      <c r="E22" s="4">
        <v>4.0</v>
      </c>
      <c r="F22" s="4" t="s">
        <v>29</v>
      </c>
      <c r="G22" s="4" t="s">
        <v>29</v>
      </c>
      <c r="H22" s="4" t="s">
        <v>29</v>
      </c>
      <c r="I22" s="4" t="s">
        <v>29</v>
      </c>
      <c r="J22" s="4" t="s">
        <v>29</v>
      </c>
      <c r="K22" s="4" t="s">
        <v>29</v>
      </c>
      <c r="L22" s="4" t="s">
        <v>29</v>
      </c>
      <c r="M22" s="4" t="s">
        <v>29</v>
      </c>
      <c r="N22" s="4" t="s">
        <v>29</v>
      </c>
      <c r="O22" s="4" t="s">
        <v>29</v>
      </c>
      <c r="P22" s="4"/>
      <c r="Q22" s="4"/>
      <c r="R22" s="3"/>
      <c r="S22" s="3"/>
      <c r="T22" s="3"/>
      <c r="U22" s="3"/>
      <c r="V22" s="3"/>
      <c r="W22" s="3"/>
      <c r="X22" s="3"/>
      <c r="Y22" s="3"/>
      <c r="Z22" s="3"/>
    </row>
    <row r="23" ht="43.5" customHeight="1">
      <c r="A23" s="5" t="s">
        <v>23</v>
      </c>
      <c r="B23" s="4" t="s">
        <v>25</v>
      </c>
      <c r="C23" s="4" t="s">
        <v>41</v>
      </c>
      <c r="D23" s="4" t="s">
        <v>39</v>
      </c>
      <c r="E23" s="4">
        <v>5.0</v>
      </c>
      <c r="F23" s="4" t="s">
        <v>30</v>
      </c>
      <c r="G23" s="4" t="s">
        <v>29</v>
      </c>
      <c r="H23" s="4" t="s">
        <v>30</v>
      </c>
      <c r="I23" s="4" t="s">
        <v>30</v>
      </c>
      <c r="J23" s="4" t="s">
        <v>29</v>
      </c>
      <c r="K23" s="4" t="s">
        <v>29</v>
      </c>
      <c r="L23" s="4" t="s">
        <v>29</v>
      </c>
      <c r="M23" s="4" t="s">
        <v>30</v>
      </c>
      <c r="N23" s="4" t="s">
        <v>30</v>
      </c>
      <c r="O23" s="4" t="s">
        <v>29</v>
      </c>
      <c r="P23" s="4"/>
      <c r="Q23" s="4" t="s">
        <v>64</v>
      </c>
      <c r="R23" s="3"/>
      <c r="S23" s="3"/>
      <c r="T23" s="3"/>
      <c r="U23" s="3"/>
      <c r="V23" s="3"/>
      <c r="W23" s="3"/>
      <c r="X23" s="3"/>
      <c r="Y23" s="3"/>
      <c r="Z23" s="3"/>
    </row>
    <row r="24" ht="43.5" customHeight="1">
      <c r="A24" s="5" t="s">
        <v>23</v>
      </c>
      <c r="B24" s="4" t="s">
        <v>25</v>
      </c>
      <c r="C24" s="4" t="s">
        <v>38</v>
      </c>
      <c r="D24" s="4" t="s">
        <v>48</v>
      </c>
      <c r="E24" s="4">
        <v>3.0</v>
      </c>
      <c r="F24" s="4" t="s">
        <v>29</v>
      </c>
      <c r="G24" s="4" t="s">
        <v>30</v>
      </c>
      <c r="H24" s="4" t="s">
        <v>30</v>
      </c>
      <c r="I24" s="4" t="s">
        <v>35</v>
      </c>
      <c r="J24" s="4" t="s">
        <v>35</v>
      </c>
      <c r="K24" s="4" t="s">
        <v>30</v>
      </c>
      <c r="L24" s="4" t="s">
        <v>29</v>
      </c>
      <c r="M24" s="4" t="s">
        <v>30</v>
      </c>
      <c r="N24" s="4" t="s">
        <v>30</v>
      </c>
      <c r="O24" s="4" t="s">
        <v>30</v>
      </c>
      <c r="P24" s="4" t="s">
        <v>65</v>
      </c>
      <c r="Q24" s="4" t="s">
        <v>66</v>
      </c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0"/>
    <col customWidth="1" min="2" max="2" width="100.0"/>
    <col customWidth="1" min="3" max="26" width="8.63"/>
  </cols>
  <sheetData>
    <row r="1">
      <c r="A1" s="2" t="s">
        <v>0</v>
      </c>
      <c r="B1" s="2" t="s">
        <v>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3</v>
      </c>
      <c r="B2" s="4" t="s">
        <v>18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4" t="s">
        <v>4</v>
      </c>
      <c r="B3" s="4" t="s">
        <v>20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6</v>
      </c>
      <c r="B4" s="4" t="s">
        <v>22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4" t="s">
        <v>7</v>
      </c>
      <c r="B5" s="4" t="s">
        <v>24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 t="s">
        <v>8</v>
      </c>
      <c r="B6" s="4" t="s">
        <v>27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 t="s">
        <v>9</v>
      </c>
      <c r="B7" s="4" t="s">
        <v>31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 t="s">
        <v>10</v>
      </c>
      <c r="B8" s="4" t="s">
        <v>34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4" t="s">
        <v>12</v>
      </c>
      <c r="B9" s="4" t="s">
        <v>37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 t="s">
        <v>14</v>
      </c>
      <c r="B10" s="4" t="s">
        <v>40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16</v>
      </c>
      <c r="B11" s="4" t="s">
        <v>42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 t="s">
        <v>45</v>
      </c>
      <c r="B12" s="4" t="s">
        <v>46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49</v>
      </c>
      <c r="B13" s="4" t="s">
        <v>51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11" width="10.0"/>
    <col customWidth="1" min="12" max="26" width="8.63"/>
  </cols>
  <sheetData>
    <row r="1">
      <c r="A1" s="1" t="s">
        <v>2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12</v>
      </c>
      <c r="J1" s="1" t="s">
        <v>14</v>
      </c>
      <c r="K1" s="1" t="s">
        <v>16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>
        <v>1.0</v>
      </c>
      <c r="B2" s="3">
        <f>IF('Cleaned Responses'!F2="Strongly disagree",1,IF('Cleaned Responses'!F2="Disagree",2,IF('Cleaned Responses'!F2="Neutral",3,IF('Cleaned Responses'!F2="Agree",4,IF('Cleaned Responses'!F2="Strongly agree",5,"")))))</f>
        <v>4</v>
      </c>
      <c r="C2" s="3">
        <f>IF('Cleaned Responses'!G2="Strongly disagree",1,IF('Cleaned Responses'!G2="Disagree",2,IF('Cleaned Responses'!G2="Neutral",3,IF('Cleaned Responses'!G2="Agree",4,IF('Cleaned Responses'!G2="Strongly agree",5,"")))))</f>
        <v>4</v>
      </c>
      <c r="D2" s="3">
        <f>IF('Cleaned Responses'!H2="Strongly disagree",1,IF('Cleaned Responses'!H2="Disagree",2,IF('Cleaned Responses'!H2="Neutral",3,IF('Cleaned Responses'!H2="Agree",4,IF('Cleaned Responses'!H2="Strongly agree",5,"")))))</f>
        <v>5</v>
      </c>
      <c r="E2" s="3">
        <f>IF('Cleaned Responses'!I2="Strongly disagree",1,IF('Cleaned Responses'!I2="Disagree",2,IF('Cleaned Responses'!I2="Neutral",3,IF('Cleaned Responses'!I2="Agree",4,IF('Cleaned Responses'!I2="Strongly agree",5,"")))))</f>
        <v>5</v>
      </c>
      <c r="F2" s="3">
        <f>IF('Cleaned Responses'!J2="Strongly disagree",1,IF('Cleaned Responses'!J2="Disagree",2,IF('Cleaned Responses'!J2="Neutral",3,IF('Cleaned Responses'!J2="Agree",4,IF('Cleaned Responses'!J2="Strongly agree",5,"")))))</f>
        <v>4</v>
      </c>
      <c r="G2" s="3">
        <f>IF('Cleaned Responses'!K2="Strongly disagree",1,IF('Cleaned Responses'!K2="Disagree",2,IF('Cleaned Responses'!K2="Neutral",3,IF('Cleaned Responses'!K2="Agree",4,IF('Cleaned Responses'!K2="Strongly agree",5,"")))))</f>
        <v>4</v>
      </c>
      <c r="H2" s="3">
        <f>IF('Cleaned Responses'!L2="Strongly disagree",1,IF('Cleaned Responses'!L2="Disagree",2,IF('Cleaned Responses'!L2="Neutral",3,IF('Cleaned Responses'!L2="Agree",4,IF('Cleaned Responses'!L2="Strongly agree",5,"")))))</f>
        <v>4</v>
      </c>
      <c r="I2" s="3">
        <f>IF('Cleaned Responses'!M2="Strongly disagree",1,IF('Cleaned Responses'!M2="Disagree",2,IF('Cleaned Responses'!M2="Neutral",3,IF('Cleaned Responses'!M2="Agree",4,IF('Cleaned Responses'!M2="Strongly agree",5,"")))))</f>
        <v>5</v>
      </c>
      <c r="J2" s="3">
        <f>IF('Cleaned Responses'!N2="Strongly disagree",1,IF('Cleaned Responses'!N2="Disagree",2,IF('Cleaned Responses'!N2="Neutral",3,IF('Cleaned Responses'!N2="Agree",4,IF('Cleaned Responses'!N2="Strongly agree",5,"")))))</f>
        <v>4</v>
      </c>
      <c r="K2" s="3">
        <f>IF('Cleaned Responses'!O2="Strongly disagree",1,IF('Cleaned Responses'!O2="Disagree",2,IF('Cleaned Responses'!O2="Neutral",3,IF('Cleaned Responses'!O2="Agree",4,IF('Cleaned Responses'!O2="Strongly agree",5,"")))))</f>
        <v>4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>
        <v>2.0</v>
      </c>
      <c r="B3" s="3">
        <f>IF('Cleaned Responses'!F3="Strongly disagree",1,IF('Cleaned Responses'!F3="Disagree",2,IF('Cleaned Responses'!F3="Neutral",3,IF('Cleaned Responses'!F3="Agree",4,IF('Cleaned Responses'!F3="Strongly agree",5,"")))))</f>
        <v>4</v>
      </c>
      <c r="C3" s="3">
        <f>IF('Cleaned Responses'!G3="Strongly disagree",1,IF('Cleaned Responses'!G3="Disagree",2,IF('Cleaned Responses'!G3="Neutral",3,IF('Cleaned Responses'!G3="Agree",4,IF('Cleaned Responses'!G3="Strongly agree",5,"")))))</f>
        <v>4</v>
      </c>
      <c r="D3" s="3">
        <f>IF('Cleaned Responses'!H3="Strongly disagree",1,IF('Cleaned Responses'!H3="Disagree",2,IF('Cleaned Responses'!H3="Neutral",3,IF('Cleaned Responses'!H3="Agree",4,IF('Cleaned Responses'!H3="Strongly agree",5,"")))))</f>
        <v>4</v>
      </c>
      <c r="E3" s="3">
        <f>IF('Cleaned Responses'!I3="Strongly disagree",1,IF('Cleaned Responses'!I3="Disagree",2,IF('Cleaned Responses'!I3="Neutral",3,IF('Cleaned Responses'!I3="Agree",4,IF('Cleaned Responses'!I3="Strongly agree",5,"")))))</f>
        <v>3</v>
      </c>
      <c r="F3" s="3">
        <f>IF('Cleaned Responses'!J3="Strongly disagree",1,IF('Cleaned Responses'!J3="Disagree",2,IF('Cleaned Responses'!J3="Neutral",3,IF('Cleaned Responses'!J3="Agree",4,IF('Cleaned Responses'!J3="Strongly agree",5,"")))))</f>
        <v>4</v>
      </c>
      <c r="G3" s="3">
        <f>IF('Cleaned Responses'!K3="Strongly disagree",1,IF('Cleaned Responses'!K3="Disagree",2,IF('Cleaned Responses'!K3="Neutral",3,IF('Cleaned Responses'!K3="Agree",4,IF('Cleaned Responses'!K3="Strongly agree",5,"")))))</f>
        <v>4</v>
      </c>
      <c r="H3" s="3">
        <f>IF('Cleaned Responses'!L3="Strongly disagree",1,IF('Cleaned Responses'!L3="Disagree",2,IF('Cleaned Responses'!L3="Neutral",3,IF('Cleaned Responses'!L3="Agree",4,IF('Cleaned Responses'!L3="Strongly agree",5,"")))))</f>
        <v>4</v>
      </c>
      <c r="I3" s="3">
        <f>IF('Cleaned Responses'!M3="Strongly disagree",1,IF('Cleaned Responses'!M3="Disagree",2,IF('Cleaned Responses'!M3="Neutral",3,IF('Cleaned Responses'!M3="Agree",4,IF('Cleaned Responses'!M3="Strongly agree",5,"")))))</f>
        <v>5</v>
      </c>
      <c r="J3" s="3">
        <f>IF('Cleaned Responses'!N3="Strongly disagree",1,IF('Cleaned Responses'!N3="Disagree",2,IF('Cleaned Responses'!N3="Neutral",3,IF('Cleaned Responses'!N3="Agree",4,IF('Cleaned Responses'!N3="Strongly agree",5,"")))))</f>
        <v>5</v>
      </c>
      <c r="K3" s="3">
        <f>IF('Cleaned Responses'!O3="Strongly disagree",1,IF('Cleaned Responses'!O3="Disagree",2,IF('Cleaned Responses'!O3="Neutral",3,IF('Cleaned Responses'!O3="Agree",4,IF('Cleaned Responses'!O3="Strongly agree",5,"")))))</f>
        <v>5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>
        <v>3.0</v>
      </c>
      <c r="B4" s="3">
        <f>IF('Cleaned Responses'!F4="Strongly disagree",1,IF('Cleaned Responses'!F4="Disagree",2,IF('Cleaned Responses'!F4="Neutral",3,IF('Cleaned Responses'!F4="Agree",4,IF('Cleaned Responses'!F4="Strongly agree",5,"")))))</f>
        <v>4</v>
      </c>
      <c r="C4" s="3">
        <f>IF('Cleaned Responses'!G4="Strongly disagree",1,IF('Cleaned Responses'!G4="Disagree",2,IF('Cleaned Responses'!G4="Neutral",3,IF('Cleaned Responses'!G4="Agree",4,IF('Cleaned Responses'!G4="Strongly agree",5,"")))))</f>
        <v>4</v>
      </c>
      <c r="D4" s="3">
        <f>IF('Cleaned Responses'!H4="Strongly disagree",1,IF('Cleaned Responses'!H4="Disagree",2,IF('Cleaned Responses'!H4="Neutral",3,IF('Cleaned Responses'!H4="Agree",4,IF('Cleaned Responses'!H4="Strongly agree",5,"")))))</f>
        <v>3</v>
      </c>
      <c r="E4" s="3">
        <f>IF('Cleaned Responses'!I4="Strongly disagree",1,IF('Cleaned Responses'!I4="Disagree",2,IF('Cleaned Responses'!I4="Neutral",3,IF('Cleaned Responses'!I4="Agree",4,IF('Cleaned Responses'!I4="Strongly agree",5,"")))))</f>
        <v>4</v>
      </c>
      <c r="F4" s="3">
        <f>IF('Cleaned Responses'!J4="Strongly disagree",1,IF('Cleaned Responses'!J4="Disagree",2,IF('Cleaned Responses'!J4="Neutral",3,IF('Cleaned Responses'!J4="Agree",4,IF('Cleaned Responses'!J4="Strongly agree",5,"")))))</f>
        <v>4</v>
      </c>
      <c r="G4" s="3">
        <f>IF('Cleaned Responses'!K4="Strongly disagree",1,IF('Cleaned Responses'!K4="Disagree",2,IF('Cleaned Responses'!K4="Neutral",3,IF('Cleaned Responses'!K4="Agree",4,IF('Cleaned Responses'!K4="Strongly agree",5,"")))))</f>
        <v>4</v>
      </c>
      <c r="H4" s="3">
        <f>IF('Cleaned Responses'!L4="Strongly disagree",1,IF('Cleaned Responses'!L4="Disagree",2,IF('Cleaned Responses'!L4="Neutral",3,IF('Cleaned Responses'!L4="Agree",4,IF('Cleaned Responses'!L4="Strongly agree",5,"")))))</f>
        <v>5</v>
      </c>
      <c r="I4" s="3">
        <f>IF('Cleaned Responses'!M4="Strongly disagree",1,IF('Cleaned Responses'!M4="Disagree",2,IF('Cleaned Responses'!M4="Neutral",3,IF('Cleaned Responses'!M4="Agree",4,IF('Cleaned Responses'!M4="Strongly agree",5,"")))))</f>
        <v>4</v>
      </c>
      <c r="J4" s="3">
        <f>IF('Cleaned Responses'!N4="Strongly disagree",1,IF('Cleaned Responses'!N4="Disagree",2,IF('Cleaned Responses'!N4="Neutral",3,IF('Cleaned Responses'!N4="Agree",4,IF('Cleaned Responses'!N4="Strongly agree",5,"")))))</f>
        <v>4</v>
      </c>
      <c r="K4" s="3">
        <f>IF('Cleaned Responses'!O4="Strongly disagree",1,IF('Cleaned Responses'!O4="Disagree",2,IF('Cleaned Responses'!O4="Neutral",3,IF('Cleaned Responses'!O4="Agree",4,IF('Cleaned Responses'!O4="Strongly agree",5,"")))))</f>
        <v>5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>
        <v>4.0</v>
      </c>
      <c r="B5" s="3">
        <f>IF('Cleaned Responses'!F5="Strongly disagree",1,IF('Cleaned Responses'!F5="Disagree",2,IF('Cleaned Responses'!F5="Neutral",3,IF('Cleaned Responses'!F5="Agree",4,IF('Cleaned Responses'!F5="Strongly agree",5,"")))))</f>
        <v>4</v>
      </c>
      <c r="C5" s="3">
        <f>IF('Cleaned Responses'!G5="Strongly disagree",1,IF('Cleaned Responses'!G5="Disagree",2,IF('Cleaned Responses'!G5="Neutral",3,IF('Cleaned Responses'!G5="Agree",4,IF('Cleaned Responses'!G5="Strongly agree",5,"")))))</f>
        <v>4</v>
      </c>
      <c r="D5" s="3">
        <f>IF('Cleaned Responses'!H5="Strongly disagree",1,IF('Cleaned Responses'!H5="Disagree",2,IF('Cleaned Responses'!H5="Neutral",3,IF('Cleaned Responses'!H5="Agree",4,IF('Cleaned Responses'!H5="Strongly agree",5,"")))))</f>
        <v>5</v>
      </c>
      <c r="E5" s="3">
        <f>IF('Cleaned Responses'!I5="Strongly disagree",1,IF('Cleaned Responses'!I5="Disagree",2,IF('Cleaned Responses'!I5="Neutral",3,IF('Cleaned Responses'!I5="Agree",4,IF('Cleaned Responses'!I5="Strongly agree",5,"")))))</f>
        <v>5</v>
      </c>
      <c r="F5" s="3">
        <f>IF('Cleaned Responses'!J5="Strongly disagree",1,IF('Cleaned Responses'!J5="Disagree",2,IF('Cleaned Responses'!J5="Neutral",3,IF('Cleaned Responses'!J5="Agree",4,IF('Cleaned Responses'!J5="Strongly agree",5,"")))))</f>
        <v>4</v>
      </c>
      <c r="G5" s="3">
        <f>IF('Cleaned Responses'!K5="Strongly disagree",1,IF('Cleaned Responses'!K5="Disagree",2,IF('Cleaned Responses'!K5="Neutral",3,IF('Cleaned Responses'!K5="Agree",4,IF('Cleaned Responses'!K5="Strongly agree",5,"")))))</f>
        <v>5</v>
      </c>
      <c r="H5" s="3">
        <f>IF('Cleaned Responses'!L5="Strongly disagree",1,IF('Cleaned Responses'!L5="Disagree",2,IF('Cleaned Responses'!L5="Neutral",3,IF('Cleaned Responses'!L5="Agree",4,IF('Cleaned Responses'!L5="Strongly agree",5,"")))))</f>
        <v>4</v>
      </c>
      <c r="I5" s="3">
        <f>IF('Cleaned Responses'!M5="Strongly disagree",1,IF('Cleaned Responses'!M5="Disagree",2,IF('Cleaned Responses'!M5="Neutral",3,IF('Cleaned Responses'!M5="Agree",4,IF('Cleaned Responses'!M5="Strongly agree",5,"")))))</f>
        <v>5</v>
      </c>
      <c r="J5" s="3">
        <f>IF('Cleaned Responses'!N5="Strongly disagree",1,IF('Cleaned Responses'!N5="Disagree",2,IF('Cleaned Responses'!N5="Neutral",3,IF('Cleaned Responses'!N5="Agree",4,IF('Cleaned Responses'!N5="Strongly agree",5,"")))))</f>
        <v>4</v>
      </c>
      <c r="K5" s="3">
        <f>IF('Cleaned Responses'!O5="Strongly disagree",1,IF('Cleaned Responses'!O5="Disagree",2,IF('Cleaned Responses'!O5="Neutral",3,IF('Cleaned Responses'!O5="Agree",4,IF('Cleaned Responses'!O5="Strongly agree",5,"")))))</f>
        <v>5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>
        <v>5.0</v>
      </c>
      <c r="B6" s="3">
        <f>IF('Cleaned Responses'!F6="Strongly disagree",1,IF('Cleaned Responses'!F6="Disagree",2,IF('Cleaned Responses'!F6="Neutral",3,IF('Cleaned Responses'!F6="Agree",4,IF('Cleaned Responses'!F6="Strongly agree",5,"")))))</f>
        <v>3</v>
      </c>
      <c r="C6" s="3">
        <f>IF('Cleaned Responses'!G6="Strongly disagree",1,IF('Cleaned Responses'!G6="Disagree",2,IF('Cleaned Responses'!G6="Neutral",3,IF('Cleaned Responses'!G6="Agree",4,IF('Cleaned Responses'!G6="Strongly agree",5,"")))))</f>
        <v>4</v>
      </c>
      <c r="D6" s="3">
        <f>IF('Cleaned Responses'!H6="Strongly disagree",1,IF('Cleaned Responses'!H6="Disagree",2,IF('Cleaned Responses'!H6="Neutral",3,IF('Cleaned Responses'!H6="Agree",4,IF('Cleaned Responses'!H6="Strongly agree",5,"")))))</f>
        <v>2</v>
      </c>
      <c r="E6" s="3">
        <f>IF('Cleaned Responses'!I6="Strongly disagree",1,IF('Cleaned Responses'!I6="Disagree",2,IF('Cleaned Responses'!I6="Neutral",3,IF('Cleaned Responses'!I6="Agree",4,IF('Cleaned Responses'!I6="Strongly agree",5,"")))))</f>
        <v>4</v>
      </c>
      <c r="F6" s="3">
        <f>IF('Cleaned Responses'!J6="Strongly disagree",1,IF('Cleaned Responses'!J6="Disagree",2,IF('Cleaned Responses'!J6="Neutral",3,IF('Cleaned Responses'!J6="Agree",4,IF('Cleaned Responses'!J6="Strongly agree",5,"")))))</f>
        <v>3</v>
      </c>
      <c r="G6" s="3">
        <f>IF('Cleaned Responses'!K6="Strongly disagree",1,IF('Cleaned Responses'!K6="Disagree",2,IF('Cleaned Responses'!K6="Neutral",3,IF('Cleaned Responses'!K6="Agree",4,IF('Cleaned Responses'!K6="Strongly agree",5,"")))))</f>
        <v>3</v>
      </c>
      <c r="H6" s="3">
        <f>IF('Cleaned Responses'!L6="Strongly disagree",1,IF('Cleaned Responses'!L6="Disagree",2,IF('Cleaned Responses'!L6="Neutral",3,IF('Cleaned Responses'!L6="Agree",4,IF('Cleaned Responses'!L6="Strongly agree",5,"")))))</f>
        <v>4</v>
      </c>
      <c r="I6" s="3">
        <f>IF('Cleaned Responses'!M6="Strongly disagree",1,IF('Cleaned Responses'!M6="Disagree",2,IF('Cleaned Responses'!M6="Neutral",3,IF('Cleaned Responses'!M6="Agree",4,IF('Cleaned Responses'!M6="Strongly agree",5,"")))))</f>
        <v>4</v>
      </c>
      <c r="J6" s="3">
        <f>IF('Cleaned Responses'!N6="Strongly disagree",1,IF('Cleaned Responses'!N6="Disagree",2,IF('Cleaned Responses'!N6="Neutral",3,IF('Cleaned Responses'!N6="Agree",4,IF('Cleaned Responses'!N6="Strongly agree",5,"")))))</f>
        <v>4</v>
      </c>
      <c r="K6" s="3">
        <f>IF('Cleaned Responses'!O6="Strongly disagree",1,IF('Cleaned Responses'!O6="Disagree",2,IF('Cleaned Responses'!O6="Neutral",3,IF('Cleaned Responses'!O6="Agree",4,IF('Cleaned Responses'!O6="Strongly agree",5,"")))))</f>
        <v>5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>
        <v>6.0</v>
      </c>
      <c r="B7" s="3">
        <f>IF('Cleaned Responses'!F7="Strongly disagree",1,IF('Cleaned Responses'!F7="Disagree",2,IF('Cleaned Responses'!F7="Neutral",3,IF('Cleaned Responses'!F7="Agree",4,IF('Cleaned Responses'!F7="Strongly agree",5,"")))))</f>
        <v>4</v>
      </c>
      <c r="C7" s="3">
        <f>IF('Cleaned Responses'!G7="Strongly disagree",1,IF('Cleaned Responses'!G7="Disagree",2,IF('Cleaned Responses'!G7="Neutral",3,IF('Cleaned Responses'!G7="Agree",4,IF('Cleaned Responses'!G7="Strongly agree",5,"")))))</f>
        <v>5</v>
      </c>
      <c r="D7" s="3">
        <f>IF('Cleaned Responses'!H7="Strongly disagree",1,IF('Cleaned Responses'!H7="Disagree",2,IF('Cleaned Responses'!H7="Neutral",3,IF('Cleaned Responses'!H7="Agree",4,IF('Cleaned Responses'!H7="Strongly agree",5,"")))))</f>
        <v>4</v>
      </c>
      <c r="E7" s="3">
        <f>IF('Cleaned Responses'!I7="Strongly disagree",1,IF('Cleaned Responses'!I7="Disagree",2,IF('Cleaned Responses'!I7="Neutral",3,IF('Cleaned Responses'!I7="Agree",4,IF('Cleaned Responses'!I7="Strongly agree",5,"")))))</f>
        <v>4</v>
      </c>
      <c r="F7" s="3">
        <f>IF('Cleaned Responses'!J7="Strongly disagree",1,IF('Cleaned Responses'!J7="Disagree",2,IF('Cleaned Responses'!J7="Neutral",3,IF('Cleaned Responses'!J7="Agree",4,IF('Cleaned Responses'!J7="Strongly agree",5,"")))))</f>
        <v>4</v>
      </c>
      <c r="G7" s="3">
        <f>IF('Cleaned Responses'!K7="Strongly disagree",1,IF('Cleaned Responses'!K7="Disagree",2,IF('Cleaned Responses'!K7="Neutral",3,IF('Cleaned Responses'!K7="Agree",4,IF('Cleaned Responses'!K7="Strongly agree",5,"")))))</f>
        <v>4</v>
      </c>
      <c r="H7" s="3">
        <f>IF('Cleaned Responses'!L7="Strongly disagree",1,IF('Cleaned Responses'!L7="Disagree",2,IF('Cleaned Responses'!L7="Neutral",3,IF('Cleaned Responses'!L7="Agree",4,IF('Cleaned Responses'!L7="Strongly agree",5,"")))))</f>
        <v>4</v>
      </c>
      <c r="I7" s="3">
        <f>IF('Cleaned Responses'!M7="Strongly disagree",1,IF('Cleaned Responses'!M7="Disagree",2,IF('Cleaned Responses'!M7="Neutral",3,IF('Cleaned Responses'!M7="Agree",4,IF('Cleaned Responses'!M7="Strongly agree",5,"")))))</f>
        <v>4</v>
      </c>
      <c r="J7" s="3">
        <f>IF('Cleaned Responses'!N7="Strongly disagree",1,IF('Cleaned Responses'!N7="Disagree",2,IF('Cleaned Responses'!N7="Neutral",3,IF('Cleaned Responses'!N7="Agree",4,IF('Cleaned Responses'!N7="Strongly agree",5,"")))))</f>
        <v>4</v>
      </c>
      <c r="K7" s="3">
        <f>IF('Cleaned Responses'!O7="Strongly disagree",1,IF('Cleaned Responses'!O7="Disagree",2,IF('Cleaned Responses'!O7="Neutral",3,IF('Cleaned Responses'!O7="Agree",4,IF('Cleaned Responses'!O7="Strongly agree",5,"")))))</f>
        <v>4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>
        <v>7.0</v>
      </c>
      <c r="B8" s="3">
        <f>IF('Cleaned Responses'!F8="Strongly disagree",1,IF('Cleaned Responses'!F8="Disagree",2,IF('Cleaned Responses'!F8="Neutral",3,IF('Cleaned Responses'!F8="Agree",4,IF('Cleaned Responses'!F8="Strongly agree",5,"")))))</f>
        <v>3</v>
      </c>
      <c r="C8" s="3">
        <f>IF('Cleaned Responses'!G8="Strongly disagree",1,IF('Cleaned Responses'!G8="Disagree",2,IF('Cleaned Responses'!G8="Neutral",3,IF('Cleaned Responses'!G8="Agree",4,IF('Cleaned Responses'!G8="Strongly agree",5,"")))))</f>
        <v>5</v>
      </c>
      <c r="D8" s="3">
        <f>IF('Cleaned Responses'!H8="Strongly disagree",1,IF('Cleaned Responses'!H8="Disagree",2,IF('Cleaned Responses'!H8="Neutral",3,IF('Cleaned Responses'!H8="Agree",4,IF('Cleaned Responses'!H8="Strongly agree",5,"")))))</f>
        <v>5</v>
      </c>
      <c r="E8" s="3">
        <f>IF('Cleaned Responses'!I8="Strongly disagree",1,IF('Cleaned Responses'!I8="Disagree",2,IF('Cleaned Responses'!I8="Neutral",3,IF('Cleaned Responses'!I8="Agree",4,IF('Cleaned Responses'!I8="Strongly agree",5,"")))))</f>
        <v>4</v>
      </c>
      <c r="F8" s="3">
        <f>IF('Cleaned Responses'!J8="Strongly disagree",1,IF('Cleaned Responses'!J8="Disagree",2,IF('Cleaned Responses'!J8="Neutral",3,IF('Cleaned Responses'!J8="Agree",4,IF('Cleaned Responses'!J8="Strongly agree",5,"")))))</f>
        <v>3</v>
      </c>
      <c r="G8" s="3">
        <f>IF('Cleaned Responses'!K8="Strongly disagree",1,IF('Cleaned Responses'!K8="Disagree",2,IF('Cleaned Responses'!K8="Neutral",3,IF('Cleaned Responses'!K8="Agree",4,IF('Cleaned Responses'!K8="Strongly agree",5,"")))))</f>
        <v>5</v>
      </c>
      <c r="H8" s="3">
        <f>IF('Cleaned Responses'!L8="Strongly disagree",1,IF('Cleaned Responses'!L8="Disagree",2,IF('Cleaned Responses'!L8="Neutral",3,IF('Cleaned Responses'!L8="Agree",4,IF('Cleaned Responses'!L8="Strongly agree",5,"")))))</f>
        <v>4</v>
      </c>
      <c r="I8" s="3">
        <f>IF('Cleaned Responses'!M8="Strongly disagree",1,IF('Cleaned Responses'!M8="Disagree",2,IF('Cleaned Responses'!M8="Neutral",3,IF('Cleaned Responses'!M8="Agree",4,IF('Cleaned Responses'!M8="Strongly agree",5,"")))))</f>
        <v>5</v>
      </c>
      <c r="J8" s="3">
        <f>IF('Cleaned Responses'!N8="Strongly disagree",1,IF('Cleaned Responses'!N8="Disagree",2,IF('Cleaned Responses'!N8="Neutral",3,IF('Cleaned Responses'!N8="Agree",4,IF('Cleaned Responses'!N8="Strongly agree",5,"")))))</f>
        <v>4</v>
      </c>
      <c r="K8" s="3">
        <f>IF('Cleaned Responses'!O8="Strongly disagree",1,IF('Cleaned Responses'!O8="Disagree",2,IF('Cleaned Responses'!O8="Neutral",3,IF('Cleaned Responses'!O8="Agree",4,IF('Cleaned Responses'!O8="Strongly agree",5,"")))))</f>
        <v>5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>
        <v>8.0</v>
      </c>
      <c r="B9" s="3">
        <f>IF('Cleaned Responses'!F9="Strongly disagree",1,IF('Cleaned Responses'!F9="Disagree",2,IF('Cleaned Responses'!F9="Neutral",3,IF('Cleaned Responses'!F9="Agree",4,IF('Cleaned Responses'!F9="Strongly agree",5,"")))))</f>
        <v>4</v>
      </c>
      <c r="C9" s="3">
        <f>IF('Cleaned Responses'!G9="Strongly disagree",1,IF('Cleaned Responses'!G9="Disagree",2,IF('Cleaned Responses'!G9="Neutral",3,IF('Cleaned Responses'!G9="Agree",4,IF('Cleaned Responses'!G9="Strongly agree",5,"")))))</f>
        <v>3</v>
      </c>
      <c r="D9" s="3">
        <f>IF('Cleaned Responses'!H9="Strongly disagree",1,IF('Cleaned Responses'!H9="Disagree",2,IF('Cleaned Responses'!H9="Neutral",3,IF('Cleaned Responses'!H9="Agree",4,IF('Cleaned Responses'!H9="Strongly agree",5,"")))))</f>
        <v>4</v>
      </c>
      <c r="E9" s="3">
        <f>IF('Cleaned Responses'!I9="Strongly disagree",1,IF('Cleaned Responses'!I9="Disagree",2,IF('Cleaned Responses'!I9="Neutral",3,IF('Cleaned Responses'!I9="Agree",4,IF('Cleaned Responses'!I9="Strongly agree",5,"")))))</f>
        <v>3</v>
      </c>
      <c r="F9" s="3">
        <f>IF('Cleaned Responses'!J9="Strongly disagree",1,IF('Cleaned Responses'!J9="Disagree",2,IF('Cleaned Responses'!J9="Neutral",3,IF('Cleaned Responses'!J9="Agree",4,IF('Cleaned Responses'!J9="Strongly agree",5,"")))))</f>
        <v>4</v>
      </c>
      <c r="G9" s="3">
        <f>IF('Cleaned Responses'!K9="Strongly disagree",1,IF('Cleaned Responses'!K9="Disagree",2,IF('Cleaned Responses'!K9="Neutral",3,IF('Cleaned Responses'!K9="Agree",4,IF('Cleaned Responses'!K9="Strongly agree",5,"")))))</f>
        <v>4</v>
      </c>
      <c r="H9" s="3">
        <f>IF('Cleaned Responses'!L9="Strongly disagree",1,IF('Cleaned Responses'!L9="Disagree",2,IF('Cleaned Responses'!L9="Neutral",3,IF('Cleaned Responses'!L9="Agree",4,IF('Cleaned Responses'!L9="Strongly agree",5,"")))))</f>
        <v>2</v>
      </c>
      <c r="I9" s="3">
        <f>IF('Cleaned Responses'!M9="Strongly disagree",1,IF('Cleaned Responses'!M9="Disagree",2,IF('Cleaned Responses'!M9="Neutral",3,IF('Cleaned Responses'!M9="Agree",4,IF('Cleaned Responses'!M9="Strongly agree",5,"")))))</f>
        <v>3</v>
      </c>
      <c r="J9" s="3">
        <f>IF('Cleaned Responses'!N9="Strongly disagree",1,IF('Cleaned Responses'!N9="Disagree",2,IF('Cleaned Responses'!N9="Neutral",3,IF('Cleaned Responses'!N9="Agree",4,IF('Cleaned Responses'!N9="Strongly agree",5,"")))))</f>
        <v>4</v>
      </c>
      <c r="K9" s="3">
        <f>IF('Cleaned Responses'!O9="Strongly disagree",1,IF('Cleaned Responses'!O9="Disagree",2,IF('Cleaned Responses'!O9="Neutral",3,IF('Cleaned Responses'!O9="Agree",4,IF('Cleaned Responses'!O9="Strongly agree",5,"")))))</f>
        <v>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>
        <v>9.0</v>
      </c>
      <c r="B10" s="3">
        <f>IF('Cleaned Responses'!F10="Strongly disagree",1,IF('Cleaned Responses'!F10="Disagree",2,IF('Cleaned Responses'!F10="Neutral",3,IF('Cleaned Responses'!F10="Agree",4,IF('Cleaned Responses'!F10="Strongly agree",5,"")))))</f>
        <v>5</v>
      </c>
      <c r="C10" s="3">
        <f>IF('Cleaned Responses'!G10="Strongly disagree",1,IF('Cleaned Responses'!G10="Disagree",2,IF('Cleaned Responses'!G10="Neutral",3,IF('Cleaned Responses'!G10="Agree",4,IF('Cleaned Responses'!G10="Strongly agree",5,"")))))</f>
        <v>4</v>
      </c>
      <c r="D10" s="3">
        <f>IF('Cleaned Responses'!H10="Strongly disagree",1,IF('Cleaned Responses'!H10="Disagree",2,IF('Cleaned Responses'!H10="Neutral",3,IF('Cleaned Responses'!H10="Agree",4,IF('Cleaned Responses'!H10="Strongly agree",5,"")))))</f>
        <v>4</v>
      </c>
      <c r="E10" s="3">
        <f>IF('Cleaned Responses'!I10="Strongly disagree",1,IF('Cleaned Responses'!I10="Disagree",2,IF('Cleaned Responses'!I10="Neutral",3,IF('Cleaned Responses'!I10="Agree",4,IF('Cleaned Responses'!I10="Strongly agree",5,"")))))</f>
        <v>4</v>
      </c>
      <c r="F10" s="3">
        <f>IF('Cleaned Responses'!J10="Strongly disagree",1,IF('Cleaned Responses'!J10="Disagree",2,IF('Cleaned Responses'!J10="Neutral",3,IF('Cleaned Responses'!J10="Agree",4,IF('Cleaned Responses'!J10="Strongly agree",5,"")))))</f>
        <v>3</v>
      </c>
      <c r="G10" s="3">
        <f>IF('Cleaned Responses'!K10="Strongly disagree",1,IF('Cleaned Responses'!K10="Disagree",2,IF('Cleaned Responses'!K10="Neutral",3,IF('Cleaned Responses'!K10="Agree",4,IF('Cleaned Responses'!K10="Strongly agree",5,"")))))</f>
        <v>4</v>
      </c>
      <c r="H10" s="3">
        <f>IF('Cleaned Responses'!L10="Strongly disagree",1,IF('Cleaned Responses'!L10="Disagree",2,IF('Cleaned Responses'!L10="Neutral",3,IF('Cleaned Responses'!L10="Agree",4,IF('Cleaned Responses'!L10="Strongly agree",5,"")))))</f>
        <v>4</v>
      </c>
      <c r="I10" s="3">
        <f>IF('Cleaned Responses'!M10="Strongly disagree",1,IF('Cleaned Responses'!M10="Disagree",2,IF('Cleaned Responses'!M10="Neutral",3,IF('Cleaned Responses'!M10="Agree",4,IF('Cleaned Responses'!M10="Strongly agree",5,"")))))</f>
        <v>5</v>
      </c>
      <c r="J10" s="3">
        <f>IF('Cleaned Responses'!N10="Strongly disagree",1,IF('Cleaned Responses'!N10="Disagree",2,IF('Cleaned Responses'!N10="Neutral",3,IF('Cleaned Responses'!N10="Agree",4,IF('Cleaned Responses'!N10="Strongly agree",5,"")))))</f>
        <v>5</v>
      </c>
      <c r="K10" s="3">
        <f>IF('Cleaned Responses'!O10="Strongly disagree",1,IF('Cleaned Responses'!O10="Disagree",2,IF('Cleaned Responses'!O10="Neutral",3,IF('Cleaned Responses'!O10="Agree",4,IF('Cleaned Responses'!O10="Strongly agree",5,"")))))</f>
        <v>5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>
        <v>10.0</v>
      </c>
      <c r="B11" s="3">
        <f>IF('Cleaned Responses'!F11="Strongly disagree",1,IF('Cleaned Responses'!F11="Disagree",2,IF('Cleaned Responses'!F11="Neutral",3,IF('Cleaned Responses'!F11="Agree",4,IF('Cleaned Responses'!F11="Strongly agree",5,"")))))</f>
        <v>4</v>
      </c>
      <c r="C11" s="3">
        <f>IF('Cleaned Responses'!G11="Strongly disagree",1,IF('Cleaned Responses'!G11="Disagree",2,IF('Cleaned Responses'!G11="Neutral",3,IF('Cleaned Responses'!G11="Agree",4,IF('Cleaned Responses'!G11="Strongly agree",5,"")))))</f>
        <v>4</v>
      </c>
      <c r="D11" s="3">
        <f>IF('Cleaned Responses'!H11="Strongly disagree",1,IF('Cleaned Responses'!H11="Disagree",2,IF('Cleaned Responses'!H11="Neutral",3,IF('Cleaned Responses'!H11="Agree",4,IF('Cleaned Responses'!H11="Strongly agree",5,"")))))</f>
        <v>4</v>
      </c>
      <c r="E11" s="3">
        <f>IF('Cleaned Responses'!I11="Strongly disagree",1,IF('Cleaned Responses'!I11="Disagree",2,IF('Cleaned Responses'!I11="Neutral",3,IF('Cleaned Responses'!I11="Agree",4,IF('Cleaned Responses'!I11="Strongly agree",5,"")))))</f>
        <v>4</v>
      </c>
      <c r="F11" s="3">
        <f>IF('Cleaned Responses'!J11="Strongly disagree",1,IF('Cleaned Responses'!J11="Disagree",2,IF('Cleaned Responses'!J11="Neutral",3,IF('Cleaned Responses'!J11="Agree",4,IF('Cleaned Responses'!J11="Strongly agree",5,"")))))</f>
        <v>3</v>
      </c>
      <c r="G11" s="3">
        <f>IF('Cleaned Responses'!K11="Strongly disagree",1,IF('Cleaned Responses'!K11="Disagree",2,IF('Cleaned Responses'!K11="Neutral",3,IF('Cleaned Responses'!K11="Agree",4,IF('Cleaned Responses'!K11="Strongly agree",5,"")))))</f>
        <v>5</v>
      </c>
      <c r="H11" s="3">
        <f>IF('Cleaned Responses'!L11="Strongly disagree",1,IF('Cleaned Responses'!L11="Disagree",2,IF('Cleaned Responses'!L11="Neutral",3,IF('Cleaned Responses'!L11="Agree",4,IF('Cleaned Responses'!L11="Strongly agree",5,"")))))</f>
        <v>3</v>
      </c>
      <c r="I11" s="3">
        <f>IF('Cleaned Responses'!M11="Strongly disagree",1,IF('Cleaned Responses'!M11="Disagree",2,IF('Cleaned Responses'!M11="Neutral",3,IF('Cleaned Responses'!M11="Agree",4,IF('Cleaned Responses'!M11="Strongly agree",5,"")))))</f>
        <v>4</v>
      </c>
      <c r="J11" s="3">
        <f>IF('Cleaned Responses'!N11="Strongly disagree",1,IF('Cleaned Responses'!N11="Disagree",2,IF('Cleaned Responses'!N11="Neutral",3,IF('Cleaned Responses'!N11="Agree",4,IF('Cleaned Responses'!N11="Strongly agree",5,"")))))</f>
        <v>5</v>
      </c>
      <c r="K11" s="3">
        <f>IF('Cleaned Responses'!O11="Strongly disagree",1,IF('Cleaned Responses'!O11="Disagree",2,IF('Cleaned Responses'!O11="Neutral",3,IF('Cleaned Responses'!O11="Agree",4,IF('Cleaned Responses'!O11="Strongly agree",5,"")))))</f>
        <v>4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>
        <v>11.0</v>
      </c>
      <c r="B12" s="3">
        <f>IF('Cleaned Responses'!F12="Strongly disagree",1,IF('Cleaned Responses'!F12="Disagree",2,IF('Cleaned Responses'!F12="Neutral",3,IF('Cleaned Responses'!F12="Agree",4,IF('Cleaned Responses'!F12="Strongly agree",5,"")))))</f>
        <v>3</v>
      </c>
      <c r="C12" s="3">
        <f>IF('Cleaned Responses'!G12="Strongly disagree",1,IF('Cleaned Responses'!G12="Disagree",2,IF('Cleaned Responses'!G12="Neutral",3,IF('Cleaned Responses'!G12="Agree",4,IF('Cleaned Responses'!G12="Strongly agree",5,"")))))</f>
        <v>3</v>
      </c>
      <c r="D12" s="3">
        <f>IF('Cleaned Responses'!H12="Strongly disagree",1,IF('Cleaned Responses'!H12="Disagree",2,IF('Cleaned Responses'!H12="Neutral",3,IF('Cleaned Responses'!H12="Agree",4,IF('Cleaned Responses'!H12="Strongly agree",5,"")))))</f>
        <v>3</v>
      </c>
      <c r="E12" s="3">
        <f>IF('Cleaned Responses'!I12="Strongly disagree",1,IF('Cleaned Responses'!I12="Disagree",2,IF('Cleaned Responses'!I12="Neutral",3,IF('Cleaned Responses'!I12="Agree",4,IF('Cleaned Responses'!I12="Strongly agree",5,"")))))</f>
        <v>3</v>
      </c>
      <c r="F12" s="3">
        <f>IF('Cleaned Responses'!J12="Strongly disagree",1,IF('Cleaned Responses'!J12="Disagree",2,IF('Cleaned Responses'!J12="Neutral",3,IF('Cleaned Responses'!J12="Agree",4,IF('Cleaned Responses'!J12="Strongly agree",5,"")))))</f>
        <v>3</v>
      </c>
      <c r="G12" s="3">
        <f>IF('Cleaned Responses'!K12="Strongly disagree",1,IF('Cleaned Responses'!K12="Disagree",2,IF('Cleaned Responses'!K12="Neutral",3,IF('Cleaned Responses'!K12="Agree",4,IF('Cleaned Responses'!K12="Strongly agree",5,"")))))</f>
        <v>3</v>
      </c>
      <c r="H12" s="3">
        <f>IF('Cleaned Responses'!L12="Strongly disagree",1,IF('Cleaned Responses'!L12="Disagree",2,IF('Cleaned Responses'!L12="Neutral",3,IF('Cleaned Responses'!L12="Agree",4,IF('Cleaned Responses'!L12="Strongly agree",5,"")))))</f>
        <v>3</v>
      </c>
      <c r="I12" s="3">
        <f>IF('Cleaned Responses'!M12="Strongly disagree",1,IF('Cleaned Responses'!M12="Disagree",2,IF('Cleaned Responses'!M12="Neutral",3,IF('Cleaned Responses'!M12="Agree",4,IF('Cleaned Responses'!M12="Strongly agree",5,"")))))</f>
        <v>3</v>
      </c>
      <c r="J12" s="3">
        <f>IF('Cleaned Responses'!N12="Strongly disagree",1,IF('Cleaned Responses'!N12="Disagree",2,IF('Cleaned Responses'!N12="Neutral",3,IF('Cleaned Responses'!N12="Agree",4,IF('Cleaned Responses'!N12="Strongly agree",5,"")))))</f>
        <v>3</v>
      </c>
      <c r="K12" s="3">
        <f>IF('Cleaned Responses'!O12="Strongly disagree",1,IF('Cleaned Responses'!O12="Disagree",2,IF('Cleaned Responses'!O12="Neutral",3,IF('Cleaned Responses'!O12="Agree",4,IF('Cleaned Responses'!O12="Strongly agree",5,"")))))</f>
        <v>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>
        <v>12.0</v>
      </c>
      <c r="B13" s="3">
        <f>IF('Cleaned Responses'!F13="Strongly disagree",1,IF('Cleaned Responses'!F13="Disagree",2,IF('Cleaned Responses'!F13="Neutral",3,IF('Cleaned Responses'!F13="Agree",4,IF('Cleaned Responses'!F13="Strongly agree",5,"")))))</f>
        <v>4</v>
      </c>
      <c r="C13" s="3">
        <f>IF('Cleaned Responses'!G13="Strongly disagree",1,IF('Cleaned Responses'!G13="Disagree",2,IF('Cleaned Responses'!G13="Neutral",3,IF('Cleaned Responses'!G13="Agree",4,IF('Cleaned Responses'!G13="Strongly agree",5,"")))))</f>
        <v>3</v>
      </c>
      <c r="D13" s="3">
        <f>IF('Cleaned Responses'!H13="Strongly disagree",1,IF('Cleaned Responses'!H13="Disagree",2,IF('Cleaned Responses'!H13="Neutral",3,IF('Cleaned Responses'!H13="Agree",4,IF('Cleaned Responses'!H13="Strongly agree",5,"")))))</f>
        <v>3</v>
      </c>
      <c r="E13" s="3">
        <f>IF('Cleaned Responses'!I13="Strongly disagree",1,IF('Cleaned Responses'!I13="Disagree",2,IF('Cleaned Responses'!I13="Neutral",3,IF('Cleaned Responses'!I13="Agree",4,IF('Cleaned Responses'!I13="Strongly agree",5,"")))))</f>
        <v>3</v>
      </c>
      <c r="F13" s="3">
        <f>IF('Cleaned Responses'!J13="Strongly disagree",1,IF('Cleaned Responses'!J13="Disagree",2,IF('Cleaned Responses'!J13="Neutral",3,IF('Cleaned Responses'!J13="Agree",4,IF('Cleaned Responses'!J13="Strongly agree",5,"")))))</f>
        <v>3</v>
      </c>
      <c r="G13" s="3">
        <f>IF('Cleaned Responses'!K13="Strongly disagree",1,IF('Cleaned Responses'!K13="Disagree",2,IF('Cleaned Responses'!K13="Neutral",3,IF('Cleaned Responses'!K13="Agree",4,IF('Cleaned Responses'!K13="Strongly agree",5,"")))))</f>
        <v>3</v>
      </c>
      <c r="H13" s="3">
        <f>IF('Cleaned Responses'!L13="Strongly disagree",1,IF('Cleaned Responses'!L13="Disagree",2,IF('Cleaned Responses'!L13="Neutral",3,IF('Cleaned Responses'!L13="Agree",4,IF('Cleaned Responses'!L13="Strongly agree",5,"")))))</f>
        <v>3</v>
      </c>
      <c r="I13" s="3">
        <f>IF('Cleaned Responses'!M13="Strongly disagree",1,IF('Cleaned Responses'!M13="Disagree",2,IF('Cleaned Responses'!M13="Neutral",3,IF('Cleaned Responses'!M13="Agree",4,IF('Cleaned Responses'!M13="Strongly agree",5,"")))))</f>
        <v>3</v>
      </c>
      <c r="J13" s="3">
        <f>IF('Cleaned Responses'!N13="Strongly disagree",1,IF('Cleaned Responses'!N13="Disagree",2,IF('Cleaned Responses'!N13="Neutral",3,IF('Cleaned Responses'!N13="Agree",4,IF('Cleaned Responses'!N13="Strongly agree",5,"")))))</f>
        <v>3</v>
      </c>
      <c r="K13" s="3">
        <f>IF('Cleaned Responses'!O13="Strongly disagree",1,IF('Cleaned Responses'!O13="Disagree",2,IF('Cleaned Responses'!O13="Neutral",3,IF('Cleaned Responses'!O13="Agree",4,IF('Cleaned Responses'!O13="Strongly agree",5,"")))))</f>
        <v>4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>
        <v>13.0</v>
      </c>
      <c r="B14" s="3">
        <f>IF('Cleaned Responses'!F14="Strongly disagree",1,IF('Cleaned Responses'!F14="Disagree",2,IF('Cleaned Responses'!F14="Neutral",3,IF('Cleaned Responses'!F14="Agree",4,IF('Cleaned Responses'!F14="Strongly agree",5,"")))))</f>
        <v>3</v>
      </c>
      <c r="C14" s="3">
        <f>IF('Cleaned Responses'!G14="Strongly disagree",1,IF('Cleaned Responses'!G14="Disagree",2,IF('Cleaned Responses'!G14="Neutral",3,IF('Cleaned Responses'!G14="Agree",4,IF('Cleaned Responses'!G14="Strongly agree",5,"")))))</f>
        <v>5</v>
      </c>
      <c r="D14" s="3">
        <f>IF('Cleaned Responses'!H14="Strongly disagree",1,IF('Cleaned Responses'!H14="Disagree",2,IF('Cleaned Responses'!H14="Neutral",3,IF('Cleaned Responses'!H14="Agree",4,IF('Cleaned Responses'!H14="Strongly agree",5,"")))))</f>
        <v>4</v>
      </c>
      <c r="E14" s="3">
        <f>IF('Cleaned Responses'!I14="Strongly disagree",1,IF('Cleaned Responses'!I14="Disagree",2,IF('Cleaned Responses'!I14="Neutral",3,IF('Cleaned Responses'!I14="Agree",4,IF('Cleaned Responses'!I14="Strongly agree",5,"")))))</f>
        <v>3</v>
      </c>
      <c r="F14" s="3">
        <f>IF('Cleaned Responses'!J14="Strongly disagree",1,IF('Cleaned Responses'!J14="Disagree",2,IF('Cleaned Responses'!J14="Neutral",3,IF('Cleaned Responses'!J14="Agree",4,IF('Cleaned Responses'!J14="Strongly agree",5,"")))))</f>
        <v>3</v>
      </c>
      <c r="G14" s="3">
        <f>IF('Cleaned Responses'!K14="Strongly disagree",1,IF('Cleaned Responses'!K14="Disagree",2,IF('Cleaned Responses'!K14="Neutral",3,IF('Cleaned Responses'!K14="Agree",4,IF('Cleaned Responses'!K14="Strongly agree",5,"")))))</f>
        <v>4</v>
      </c>
      <c r="H14" s="3">
        <f>IF('Cleaned Responses'!L14="Strongly disagree",1,IF('Cleaned Responses'!L14="Disagree",2,IF('Cleaned Responses'!L14="Neutral",3,IF('Cleaned Responses'!L14="Agree",4,IF('Cleaned Responses'!L14="Strongly agree",5,"")))))</f>
        <v>4</v>
      </c>
      <c r="I14" s="3">
        <f>IF('Cleaned Responses'!M14="Strongly disagree",1,IF('Cleaned Responses'!M14="Disagree",2,IF('Cleaned Responses'!M14="Neutral",3,IF('Cleaned Responses'!M14="Agree",4,IF('Cleaned Responses'!M14="Strongly agree",5,"")))))</f>
        <v>5</v>
      </c>
      <c r="J14" s="3">
        <f>IF('Cleaned Responses'!N14="Strongly disagree",1,IF('Cleaned Responses'!N14="Disagree",2,IF('Cleaned Responses'!N14="Neutral",3,IF('Cleaned Responses'!N14="Agree",4,IF('Cleaned Responses'!N14="Strongly agree",5,"")))))</f>
        <v>5</v>
      </c>
      <c r="K14" s="3">
        <f>IF('Cleaned Responses'!O14="Strongly disagree",1,IF('Cleaned Responses'!O14="Disagree",2,IF('Cleaned Responses'!O14="Neutral",3,IF('Cleaned Responses'!O14="Agree",4,IF('Cleaned Responses'!O14="Strongly agree",5,"")))))</f>
        <v>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>
        <v>14.0</v>
      </c>
      <c r="B15" s="3">
        <f>IF('Cleaned Responses'!F15="Strongly disagree",1,IF('Cleaned Responses'!F15="Disagree",2,IF('Cleaned Responses'!F15="Neutral",3,IF('Cleaned Responses'!F15="Agree",4,IF('Cleaned Responses'!F15="Strongly agree",5,"")))))</f>
        <v>5</v>
      </c>
      <c r="C15" s="3">
        <f>IF('Cleaned Responses'!G15="Strongly disagree",1,IF('Cleaned Responses'!G15="Disagree",2,IF('Cleaned Responses'!G15="Neutral",3,IF('Cleaned Responses'!G15="Agree",4,IF('Cleaned Responses'!G15="Strongly agree",5,"")))))</f>
        <v>5</v>
      </c>
      <c r="D15" s="3">
        <f>IF('Cleaned Responses'!H15="Strongly disagree",1,IF('Cleaned Responses'!H15="Disagree",2,IF('Cleaned Responses'!H15="Neutral",3,IF('Cleaned Responses'!H15="Agree",4,IF('Cleaned Responses'!H15="Strongly agree",5,"")))))</f>
        <v>5</v>
      </c>
      <c r="E15" s="3">
        <f>IF('Cleaned Responses'!I15="Strongly disagree",1,IF('Cleaned Responses'!I15="Disagree",2,IF('Cleaned Responses'!I15="Neutral",3,IF('Cleaned Responses'!I15="Agree",4,IF('Cleaned Responses'!I15="Strongly agree",5,"")))))</f>
        <v>2</v>
      </c>
      <c r="F15" s="3">
        <f>IF('Cleaned Responses'!J15="Strongly disagree",1,IF('Cleaned Responses'!J15="Disagree",2,IF('Cleaned Responses'!J15="Neutral",3,IF('Cleaned Responses'!J15="Agree",4,IF('Cleaned Responses'!J15="Strongly agree",5,"")))))</f>
        <v>5</v>
      </c>
      <c r="G15" s="3">
        <f>IF('Cleaned Responses'!K15="Strongly disagree",1,IF('Cleaned Responses'!K15="Disagree",2,IF('Cleaned Responses'!K15="Neutral",3,IF('Cleaned Responses'!K15="Agree",4,IF('Cleaned Responses'!K15="Strongly agree",5,"")))))</f>
        <v>5</v>
      </c>
      <c r="H15" s="3">
        <f>IF('Cleaned Responses'!L15="Strongly disagree",1,IF('Cleaned Responses'!L15="Disagree",2,IF('Cleaned Responses'!L15="Neutral",3,IF('Cleaned Responses'!L15="Agree",4,IF('Cleaned Responses'!L15="Strongly agree",5,"")))))</f>
        <v>5</v>
      </c>
      <c r="I15" s="3">
        <f>IF('Cleaned Responses'!M15="Strongly disagree",1,IF('Cleaned Responses'!M15="Disagree",2,IF('Cleaned Responses'!M15="Neutral",3,IF('Cleaned Responses'!M15="Agree",4,IF('Cleaned Responses'!M15="Strongly agree",5,"")))))</f>
        <v>5</v>
      </c>
      <c r="J15" s="3">
        <f>IF('Cleaned Responses'!N15="Strongly disagree",1,IF('Cleaned Responses'!N15="Disagree",2,IF('Cleaned Responses'!N15="Neutral",3,IF('Cleaned Responses'!N15="Agree",4,IF('Cleaned Responses'!N15="Strongly agree",5,"")))))</f>
        <v>5</v>
      </c>
      <c r="K15" s="3">
        <f>IF('Cleaned Responses'!O15="Strongly disagree",1,IF('Cleaned Responses'!O15="Disagree",2,IF('Cleaned Responses'!O15="Neutral",3,IF('Cleaned Responses'!O15="Agree",4,IF('Cleaned Responses'!O15="Strongly agree",5,"")))))</f>
        <v>5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>
        <v>15.0</v>
      </c>
      <c r="B16" s="3">
        <f>IF('Cleaned Responses'!F16="Strongly disagree",1,IF('Cleaned Responses'!F16="Disagree",2,IF('Cleaned Responses'!F16="Neutral",3,IF('Cleaned Responses'!F16="Agree",4,IF('Cleaned Responses'!F16="Strongly agree",5,"")))))</f>
        <v>4</v>
      </c>
      <c r="C16" s="3">
        <f>IF('Cleaned Responses'!G16="Strongly disagree",1,IF('Cleaned Responses'!G16="Disagree",2,IF('Cleaned Responses'!G16="Neutral",3,IF('Cleaned Responses'!G16="Agree",4,IF('Cleaned Responses'!G16="Strongly agree",5,"")))))</f>
        <v>4</v>
      </c>
      <c r="D16" s="3">
        <f>IF('Cleaned Responses'!H16="Strongly disagree",1,IF('Cleaned Responses'!H16="Disagree",2,IF('Cleaned Responses'!H16="Neutral",3,IF('Cleaned Responses'!H16="Agree",4,IF('Cleaned Responses'!H16="Strongly agree",5,"")))))</f>
        <v>5</v>
      </c>
      <c r="E16" s="3">
        <f>IF('Cleaned Responses'!I16="Strongly disagree",1,IF('Cleaned Responses'!I16="Disagree",2,IF('Cleaned Responses'!I16="Neutral",3,IF('Cleaned Responses'!I16="Agree",4,IF('Cleaned Responses'!I16="Strongly agree",5,"")))))</f>
        <v>2</v>
      </c>
      <c r="F16" s="3">
        <f>IF('Cleaned Responses'!J16="Strongly disagree",1,IF('Cleaned Responses'!J16="Disagree",2,IF('Cleaned Responses'!J16="Neutral",3,IF('Cleaned Responses'!J16="Agree",4,IF('Cleaned Responses'!J16="Strongly agree",5,"")))))</f>
        <v>5</v>
      </c>
      <c r="G16" s="3">
        <f>IF('Cleaned Responses'!K16="Strongly disagree",1,IF('Cleaned Responses'!K16="Disagree",2,IF('Cleaned Responses'!K16="Neutral",3,IF('Cleaned Responses'!K16="Agree",4,IF('Cleaned Responses'!K16="Strongly agree",5,"")))))</f>
        <v>5</v>
      </c>
      <c r="H16" s="3">
        <f>IF('Cleaned Responses'!L16="Strongly disagree",1,IF('Cleaned Responses'!L16="Disagree",2,IF('Cleaned Responses'!L16="Neutral",3,IF('Cleaned Responses'!L16="Agree",4,IF('Cleaned Responses'!L16="Strongly agree",5,"")))))</f>
        <v>5</v>
      </c>
      <c r="I16" s="3">
        <f>IF('Cleaned Responses'!M16="Strongly disagree",1,IF('Cleaned Responses'!M16="Disagree",2,IF('Cleaned Responses'!M16="Neutral",3,IF('Cleaned Responses'!M16="Agree",4,IF('Cleaned Responses'!M16="Strongly agree",5,"")))))</f>
        <v>5</v>
      </c>
      <c r="J16" s="3">
        <f>IF('Cleaned Responses'!N16="Strongly disagree",1,IF('Cleaned Responses'!N16="Disagree",2,IF('Cleaned Responses'!N16="Neutral",3,IF('Cleaned Responses'!N16="Agree",4,IF('Cleaned Responses'!N16="Strongly agree",5,"")))))</f>
        <v>5</v>
      </c>
      <c r="K16" s="3">
        <f>IF('Cleaned Responses'!O16="Strongly disagree",1,IF('Cleaned Responses'!O16="Disagree",2,IF('Cleaned Responses'!O16="Neutral",3,IF('Cleaned Responses'!O16="Agree",4,IF('Cleaned Responses'!O16="Strongly agree",5,"")))))</f>
        <v>5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>
        <v>16.0</v>
      </c>
      <c r="B17" s="3">
        <f>IF('Cleaned Responses'!F17="Strongly disagree",1,IF('Cleaned Responses'!F17="Disagree",2,IF('Cleaned Responses'!F17="Neutral",3,IF('Cleaned Responses'!F17="Agree",4,IF('Cleaned Responses'!F17="Strongly agree",5,"")))))</f>
        <v>3</v>
      </c>
      <c r="C17" s="3">
        <f>IF('Cleaned Responses'!G17="Strongly disagree",1,IF('Cleaned Responses'!G17="Disagree",2,IF('Cleaned Responses'!G17="Neutral",3,IF('Cleaned Responses'!G17="Agree",4,IF('Cleaned Responses'!G17="Strongly agree",5,"")))))</f>
        <v>5</v>
      </c>
      <c r="D17" s="3">
        <f>IF('Cleaned Responses'!H17="Strongly disagree",1,IF('Cleaned Responses'!H17="Disagree",2,IF('Cleaned Responses'!H17="Neutral",3,IF('Cleaned Responses'!H17="Agree",4,IF('Cleaned Responses'!H17="Strongly agree",5,"")))))</f>
        <v>5</v>
      </c>
      <c r="E17" s="3">
        <f>IF('Cleaned Responses'!I17="Strongly disagree",1,IF('Cleaned Responses'!I17="Disagree",2,IF('Cleaned Responses'!I17="Neutral",3,IF('Cleaned Responses'!I17="Agree",4,IF('Cleaned Responses'!I17="Strongly agree",5,"")))))</f>
        <v>3</v>
      </c>
      <c r="F17" s="3">
        <f>IF('Cleaned Responses'!J17="Strongly disagree",1,IF('Cleaned Responses'!J17="Disagree",2,IF('Cleaned Responses'!J17="Neutral",3,IF('Cleaned Responses'!J17="Agree",4,IF('Cleaned Responses'!J17="Strongly agree",5,"")))))</f>
        <v>4</v>
      </c>
      <c r="G17" s="3">
        <f>IF('Cleaned Responses'!K17="Strongly disagree",1,IF('Cleaned Responses'!K17="Disagree",2,IF('Cleaned Responses'!K17="Neutral",3,IF('Cleaned Responses'!K17="Agree",4,IF('Cleaned Responses'!K17="Strongly agree",5,"")))))</f>
        <v>4</v>
      </c>
      <c r="H17" s="3">
        <f>IF('Cleaned Responses'!L17="Strongly disagree",1,IF('Cleaned Responses'!L17="Disagree",2,IF('Cleaned Responses'!L17="Neutral",3,IF('Cleaned Responses'!L17="Agree",4,IF('Cleaned Responses'!L17="Strongly agree",5,"")))))</f>
        <v>4</v>
      </c>
      <c r="I17" s="3">
        <f>IF('Cleaned Responses'!M17="Strongly disagree",1,IF('Cleaned Responses'!M17="Disagree",2,IF('Cleaned Responses'!M17="Neutral",3,IF('Cleaned Responses'!M17="Agree",4,IF('Cleaned Responses'!M17="Strongly agree",5,"")))))</f>
        <v>4</v>
      </c>
      <c r="J17" s="3">
        <f>IF('Cleaned Responses'!N17="Strongly disagree",1,IF('Cleaned Responses'!N17="Disagree",2,IF('Cleaned Responses'!N17="Neutral",3,IF('Cleaned Responses'!N17="Agree",4,IF('Cleaned Responses'!N17="Strongly agree",5,"")))))</f>
        <v>2</v>
      </c>
      <c r="K17" s="3">
        <f>IF('Cleaned Responses'!O17="Strongly disagree",1,IF('Cleaned Responses'!O17="Disagree",2,IF('Cleaned Responses'!O17="Neutral",3,IF('Cleaned Responses'!O17="Agree",4,IF('Cleaned Responses'!O17="Strongly agree",5,"")))))</f>
        <v>5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>
        <v>17.0</v>
      </c>
      <c r="B18" s="3">
        <f>IF('Cleaned Responses'!F18="Strongly disagree",1,IF('Cleaned Responses'!F18="Disagree",2,IF('Cleaned Responses'!F18="Neutral",3,IF('Cleaned Responses'!F18="Agree",4,IF('Cleaned Responses'!F18="Strongly agree",5,"")))))</f>
        <v>1</v>
      </c>
      <c r="C18" s="3">
        <f>IF('Cleaned Responses'!G18="Strongly disagree",1,IF('Cleaned Responses'!G18="Disagree",2,IF('Cleaned Responses'!G18="Neutral",3,IF('Cleaned Responses'!G18="Agree",4,IF('Cleaned Responses'!G18="Strongly agree",5,"")))))</f>
        <v>5</v>
      </c>
      <c r="D18" s="3">
        <f>IF('Cleaned Responses'!H18="Strongly disagree",1,IF('Cleaned Responses'!H18="Disagree",2,IF('Cleaned Responses'!H18="Neutral",3,IF('Cleaned Responses'!H18="Agree",4,IF('Cleaned Responses'!H18="Strongly agree",5,"")))))</f>
        <v>5</v>
      </c>
      <c r="E18" s="3">
        <f>IF('Cleaned Responses'!I18="Strongly disagree",1,IF('Cleaned Responses'!I18="Disagree",2,IF('Cleaned Responses'!I18="Neutral",3,IF('Cleaned Responses'!I18="Agree",4,IF('Cleaned Responses'!I18="Strongly agree",5,"")))))</f>
        <v>3</v>
      </c>
      <c r="F18" s="3">
        <f>IF('Cleaned Responses'!J18="Strongly disagree",1,IF('Cleaned Responses'!J18="Disagree",2,IF('Cleaned Responses'!J18="Neutral",3,IF('Cleaned Responses'!J18="Agree",4,IF('Cleaned Responses'!J18="Strongly agree",5,"")))))</f>
        <v>5</v>
      </c>
      <c r="G18" s="3">
        <f>IF('Cleaned Responses'!K18="Strongly disagree",1,IF('Cleaned Responses'!K18="Disagree",2,IF('Cleaned Responses'!K18="Neutral",3,IF('Cleaned Responses'!K18="Agree",4,IF('Cleaned Responses'!K18="Strongly agree",5,"")))))</f>
        <v>5</v>
      </c>
      <c r="H18" s="3">
        <f>IF('Cleaned Responses'!L18="Strongly disagree",1,IF('Cleaned Responses'!L18="Disagree",2,IF('Cleaned Responses'!L18="Neutral",3,IF('Cleaned Responses'!L18="Agree",4,IF('Cleaned Responses'!L18="Strongly agree",5,"")))))</f>
        <v>3</v>
      </c>
      <c r="I18" s="3">
        <f>IF('Cleaned Responses'!M18="Strongly disagree",1,IF('Cleaned Responses'!M18="Disagree",2,IF('Cleaned Responses'!M18="Neutral",3,IF('Cleaned Responses'!M18="Agree",4,IF('Cleaned Responses'!M18="Strongly agree",5,"")))))</f>
        <v>5</v>
      </c>
      <c r="J18" s="3">
        <f>IF('Cleaned Responses'!N18="Strongly disagree",1,IF('Cleaned Responses'!N18="Disagree",2,IF('Cleaned Responses'!N18="Neutral",3,IF('Cleaned Responses'!N18="Agree",4,IF('Cleaned Responses'!N18="Strongly agree",5,"")))))</f>
        <v>5</v>
      </c>
      <c r="K18" s="3">
        <f>IF('Cleaned Responses'!O18="Strongly disagree",1,IF('Cleaned Responses'!O18="Disagree",2,IF('Cleaned Responses'!O18="Neutral",3,IF('Cleaned Responses'!O18="Agree",4,IF('Cleaned Responses'!O18="Strongly agree",5,"")))))</f>
        <v>5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>
        <v>18.0</v>
      </c>
      <c r="B19" s="3">
        <f>IF('Cleaned Responses'!F19="Strongly disagree",1,IF('Cleaned Responses'!F19="Disagree",2,IF('Cleaned Responses'!F19="Neutral",3,IF('Cleaned Responses'!F19="Agree",4,IF('Cleaned Responses'!F19="Strongly agree",5,"")))))</f>
        <v>3</v>
      </c>
      <c r="C19" s="3">
        <f>IF('Cleaned Responses'!G19="Strongly disagree",1,IF('Cleaned Responses'!G19="Disagree",2,IF('Cleaned Responses'!G19="Neutral",3,IF('Cleaned Responses'!G19="Agree",4,IF('Cleaned Responses'!G19="Strongly agree",5,"")))))</f>
        <v>4</v>
      </c>
      <c r="D19" s="3">
        <f>IF('Cleaned Responses'!H19="Strongly disagree",1,IF('Cleaned Responses'!H19="Disagree",2,IF('Cleaned Responses'!H19="Neutral",3,IF('Cleaned Responses'!H19="Agree",4,IF('Cleaned Responses'!H19="Strongly agree",5,"")))))</f>
        <v>4</v>
      </c>
      <c r="E19" s="3">
        <f>IF('Cleaned Responses'!I19="Strongly disagree",1,IF('Cleaned Responses'!I19="Disagree",2,IF('Cleaned Responses'!I19="Neutral",3,IF('Cleaned Responses'!I19="Agree",4,IF('Cleaned Responses'!I19="Strongly agree",5,"")))))</f>
        <v>3</v>
      </c>
      <c r="F19" s="3">
        <f>IF('Cleaned Responses'!J19="Strongly disagree",1,IF('Cleaned Responses'!J19="Disagree",2,IF('Cleaned Responses'!J19="Neutral",3,IF('Cleaned Responses'!J19="Agree",4,IF('Cleaned Responses'!J19="Strongly agree",5,"")))))</f>
        <v>3</v>
      </c>
      <c r="G19" s="3">
        <f>IF('Cleaned Responses'!K19="Strongly disagree",1,IF('Cleaned Responses'!K19="Disagree",2,IF('Cleaned Responses'!K19="Neutral",3,IF('Cleaned Responses'!K19="Agree",4,IF('Cleaned Responses'!K19="Strongly agree",5,"")))))</f>
        <v>4</v>
      </c>
      <c r="H19" s="3">
        <f>IF('Cleaned Responses'!L19="Strongly disagree",1,IF('Cleaned Responses'!L19="Disagree",2,IF('Cleaned Responses'!L19="Neutral",3,IF('Cleaned Responses'!L19="Agree",4,IF('Cleaned Responses'!L19="Strongly agree",5,"")))))</f>
        <v>5</v>
      </c>
      <c r="I19" s="3">
        <f>IF('Cleaned Responses'!M19="Strongly disagree",1,IF('Cleaned Responses'!M19="Disagree",2,IF('Cleaned Responses'!M19="Neutral",3,IF('Cleaned Responses'!M19="Agree",4,IF('Cleaned Responses'!M19="Strongly agree",5,"")))))</f>
        <v>5</v>
      </c>
      <c r="J19" s="3">
        <f>IF('Cleaned Responses'!N19="Strongly disagree",1,IF('Cleaned Responses'!N19="Disagree",2,IF('Cleaned Responses'!N19="Neutral",3,IF('Cleaned Responses'!N19="Agree",4,IF('Cleaned Responses'!N19="Strongly agree",5,"")))))</f>
        <v>4</v>
      </c>
      <c r="K19" s="3">
        <f>IF('Cleaned Responses'!O19="Strongly disagree",1,IF('Cleaned Responses'!O19="Disagree",2,IF('Cleaned Responses'!O19="Neutral",3,IF('Cleaned Responses'!O19="Agree",4,IF('Cleaned Responses'!O19="Strongly agree",5,"")))))</f>
        <v>5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>
        <v>19.0</v>
      </c>
      <c r="B20" s="3">
        <f>IF('Cleaned Responses'!F20="Strongly disagree",1,IF('Cleaned Responses'!F20="Disagree",2,IF('Cleaned Responses'!F20="Neutral",3,IF('Cleaned Responses'!F20="Agree",4,IF('Cleaned Responses'!F20="Strongly agree",5,"")))))</f>
        <v>5</v>
      </c>
      <c r="C20" s="3">
        <f>IF('Cleaned Responses'!G20="Strongly disagree",1,IF('Cleaned Responses'!G20="Disagree",2,IF('Cleaned Responses'!G20="Neutral",3,IF('Cleaned Responses'!G20="Agree",4,IF('Cleaned Responses'!G20="Strongly agree",5,"")))))</f>
        <v>4</v>
      </c>
      <c r="D20" s="3">
        <f>IF('Cleaned Responses'!H20="Strongly disagree",1,IF('Cleaned Responses'!H20="Disagree",2,IF('Cleaned Responses'!H20="Neutral",3,IF('Cleaned Responses'!H20="Agree",4,IF('Cleaned Responses'!H20="Strongly agree",5,"")))))</f>
        <v>5</v>
      </c>
      <c r="E20" s="3">
        <f>IF('Cleaned Responses'!I20="Strongly disagree",1,IF('Cleaned Responses'!I20="Disagree",2,IF('Cleaned Responses'!I20="Neutral",3,IF('Cleaned Responses'!I20="Agree",4,IF('Cleaned Responses'!I20="Strongly agree",5,"")))))</f>
        <v>3</v>
      </c>
      <c r="F20" s="3">
        <f>IF('Cleaned Responses'!J20="Strongly disagree",1,IF('Cleaned Responses'!J20="Disagree",2,IF('Cleaned Responses'!J20="Neutral",3,IF('Cleaned Responses'!J20="Agree",4,IF('Cleaned Responses'!J20="Strongly agree",5,"")))))</f>
        <v>4</v>
      </c>
      <c r="G20" s="3">
        <f>IF('Cleaned Responses'!K20="Strongly disagree",1,IF('Cleaned Responses'!K20="Disagree",2,IF('Cleaned Responses'!K20="Neutral",3,IF('Cleaned Responses'!K20="Agree",4,IF('Cleaned Responses'!K20="Strongly agree",5,"")))))</f>
        <v>4</v>
      </c>
      <c r="H20" s="3">
        <f>IF('Cleaned Responses'!L20="Strongly disagree",1,IF('Cleaned Responses'!L20="Disagree",2,IF('Cleaned Responses'!L20="Neutral",3,IF('Cleaned Responses'!L20="Agree",4,IF('Cleaned Responses'!L20="Strongly agree",5,"")))))</f>
        <v>5</v>
      </c>
      <c r="I20" s="3">
        <f>IF('Cleaned Responses'!M20="Strongly disagree",1,IF('Cleaned Responses'!M20="Disagree",2,IF('Cleaned Responses'!M20="Neutral",3,IF('Cleaned Responses'!M20="Agree",4,IF('Cleaned Responses'!M20="Strongly agree",5,"")))))</f>
        <v>4</v>
      </c>
      <c r="J20" s="3">
        <f>IF('Cleaned Responses'!N20="Strongly disagree",1,IF('Cleaned Responses'!N20="Disagree",2,IF('Cleaned Responses'!N20="Neutral",3,IF('Cleaned Responses'!N20="Agree",4,IF('Cleaned Responses'!N20="Strongly agree",5,"")))))</f>
        <v>5</v>
      </c>
      <c r="K20" s="3">
        <f>IF('Cleaned Responses'!O20="Strongly disagree",1,IF('Cleaned Responses'!O20="Disagree",2,IF('Cleaned Responses'!O20="Neutral",3,IF('Cleaned Responses'!O20="Agree",4,IF('Cleaned Responses'!O20="Strongly agree",5,"")))))</f>
        <v>5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>
        <v>20.0</v>
      </c>
      <c r="B21" s="3">
        <f>IF('Cleaned Responses'!F21="Strongly disagree",1,IF('Cleaned Responses'!F21="Disagree",2,IF('Cleaned Responses'!F21="Neutral",3,IF('Cleaned Responses'!F21="Agree",4,IF('Cleaned Responses'!F21="Strongly agree",5,"")))))</f>
        <v>4</v>
      </c>
      <c r="C21" s="3">
        <f>IF('Cleaned Responses'!G21="Strongly disagree",1,IF('Cleaned Responses'!G21="Disagree",2,IF('Cleaned Responses'!G21="Neutral",3,IF('Cleaned Responses'!G21="Agree",4,IF('Cleaned Responses'!G21="Strongly agree",5,"")))))</f>
        <v>4</v>
      </c>
      <c r="D21" s="3">
        <f>IF('Cleaned Responses'!H21="Strongly disagree",1,IF('Cleaned Responses'!H21="Disagree",2,IF('Cleaned Responses'!H21="Neutral",3,IF('Cleaned Responses'!H21="Agree",4,IF('Cleaned Responses'!H21="Strongly agree",5,"")))))</f>
        <v>5</v>
      </c>
      <c r="E21" s="3">
        <f>IF('Cleaned Responses'!I21="Strongly disagree",1,IF('Cleaned Responses'!I21="Disagree",2,IF('Cleaned Responses'!I21="Neutral",3,IF('Cleaned Responses'!I21="Agree",4,IF('Cleaned Responses'!I21="Strongly agree",5,"")))))</f>
        <v>4</v>
      </c>
      <c r="F21" s="3">
        <f>IF('Cleaned Responses'!J21="Strongly disagree",1,IF('Cleaned Responses'!J21="Disagree",2,IF('Cleaned Responses'!J21="Neutral",3,IF('Cleaned Responses'!J21="Agree",4,IF('Cleaned Responses'!J21="Strongly agree",5,"")))))</f>
        <v>3</v>
      </c>
      <c r="G21" s="3">
        <f>IF('Cleaned Responses'!K21="Strongly disagree",1,IF('Cleaned Responses'!K21="Disagree",2,IF('Cleaned Responses'!K21="Neutral",3,IF('Cleaned Responses'!K21="Agree",4,IF('Cleaned Responses'!K21="Strongly agree",5,"")))))</f>
        <v>5</v>
      </c>
      <c r="H21" s="3">
        <f>IF('Cleaned Responses'!L21="Strongly disagree",1,IF('Cleaned Responses'!L21="Disagree",2,IF('Cleaned Responses'!L21="Neutral",3,IF('Cleaned Responses'!L21="Agree",4,IF('Cleaned Responses'!L21="Strongly agree",5,"")))))</f>
        <v>3</v>
      </c>
      <c r="I21" s="3">
        <f>IF('Cleaned Responses'!M21="Strongly disagree",1,IF('Cleaned Responses'!M21="Disagree",2,IF('Cleaned Responses'!M21="Neutral",3,IF('Cleaned Responses'!M21="Agree",4,IF('Cleaned Responses'!M21="Strongly agree",5,"")))))</f>
        <v>4</v>
      </c>
      <c r="J21" s="3">
        <f>IF('Cleaned Responses'!N21="Strongly disagree",1,IF('Cleaned Responses'!N21="Disagree",2,IF('Cleaned Responses'!N21="Neutral",3,IF('Cleaned Responses'!N21="Agree",4,IF('Cleaned Responses'!N21="Strongly agree",5,"")))))</f>
        <v>3</v>
      </c>
      <c r="K21" s="3">
        <f>IF('Cleaned Responses'!O21="Strongly disagree",1,IF('Cleaned Responses'!O21="Disagree",2,IF('Cleaned Responses'!O21="Neutral",3,IF('Cleaned Responses'!O21="Agree",4,IF('Cleaned Responses'!O21="Strongly agree",5,"")))))</f>
        <v>3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>
        <v>21.0</v>
      </c>
      <c r="B22" s="3">
        <f>IF('Cleaned Responses'!F22="Strongly disagree",1,IF('Cleaned Responses'!F22="Disagree",2,IF('Cleaned Responses'!F22="Neutral",3,IF('Cleaned Responses'!F22="Agree",4,IF('Cleaned Responses'!F22="Strongly agree",5,"")))))</f>
        <v>4</v>
      </c>
      <c r="C22" s="3">
        <f>IF('Cleaned Responses'!G22="Strongly disagree",1,IF('Cleaned Responses'!G22="Disagree",2,IF('Cleaned Responses'!G22="Neutral",3,IF('Cleaned Responses'!G22="Agree",4,IF('Cleaned Responses'!G22="Strongly agree",5,"")))))</f>
        <v>4</v>
      </c>
      <c r="D22" s="3">
        <f>IF('Cleaned Responses'!H22="Strongly disagree",1,IF('Cleaned Responses'!H22="Disagree",2,IF('Cleaned Responses'!H22="Neutral",3,IF('Cleaned Responses'!H22="Agree",4,IF('Cleaned Responses'!H22="Strongly agree",5,"")))))</f>
        <v>4</v>
      </c>
      <c r="E22" s="3">
        <f>IF('Cleaned Responses'!I22="Strongly disagree",1,IF('Cleaned Responses'!I22="Disagree",2,IF('Cleaned Responses'!I22="Neutral",3,IF('Cleaned Responses'!I22="Agree",4,IF('Cleaned Responses'!I22="Strongly agree",5,"")))))</f>
        <v>4</v>
      </c>
      <c r="F22" s="3">
        <f>IF('Cleaned Responses'!J22="Strongly disagree",1,IF('Cleaned Responses'!J22="Disagree",2,IF('Cleaned Responses'!J22="Neutral",3,IF('Cleaned Responses'!J22="Agree",4,IF('Cleaned Responses'!J22="Strongly agree",5,"")))))</f>
        <v>4</v>
      </c>
      <c r="G22" s="3">
        <f>IF('Cleaned Responses'!K22="Strongly disagree",1,IF('Cleaned Responses'!K22="Disagree",2,IF('Cleaned Responses'!K22="Neutral",3,IF('Cleaned Responses'!K22="Agree",4,IF('Cleaned Responses'!K22="Strongly agree",5,"")))))</f>
        <v>4</v>
      </c>
      <c r="H22" s="3">
        <f>IF('Cleaned Responses'!L22="Strongly disagree",1,IF('Cleaned Responses'!L22="Disagree",2,IF('Cleaned Responses'!L22="Neutral",3,IF('Cleaned Responses'!L22="Agree",4,IF('Cleaned Responses'!L22="Strongly agree",5,"")))))</f>
        <v>4</v>
      </c>
      <c r="I22" s="3">
        <f>IF('Cleaned Responses'!M22="Strongly disagree",1,IF('Cleaned Responses'!M22="Disagree",2,IF('Cleaned Responses'!M22="Neutral",3,IF('Cleaned Responses'!M22="Agree",4,IF('Cleaned Responses'!M22="Strongly agree",5,"")))))</f>
        <v>4</v>
      </c>
      <c r="J22" s="3">
        <f>IF('Cleaned Responses'!N22="Strongly disagree",1,IF('Cleaned Responses'!N22="Disagree",2,IF('Cleaned Responses'!N22="Neutral",3,IF('Cleaned Responses'!N22="Agree",4,IF('Cleaned Responses'!N22="Strongly agree",5,"")))))</f>
        <v>4</v>
      </c>
      <c r="K22" s="3">
        <f>IF('Cleaned Responses'!O22="Strongly disagree",1,IF('Cleaned Responses'!O22="Disagree",2,IF('Cleaned Responses'!O22="Neutral",3,IF('Cleaned Responses'!O22="Agree",4,IF('Cleaned Responses'!O22="Strongly agree",5,"")))))</f>
        <v>4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>
        <v>22.0</v>
      </c>
      <c r="B23" s="3">
        <f>IF('Cleaned Responses'!F23="Strongly disagree",1,IF('Cleaned Responses'!F23="Disagree",2,IF('Cleaned Responses'!F23="Neutral",3,IF('Cleaned Responses'!F23="Agree",4,IF('Cleaned Responses'!F23="Strongly agree",5,"")))))</f>
        <v>5</v>
      </c>
      <c r="C23" s="3">
        <f>IF('Cleaned Responses'!G23="Strongly disagree",1,IF('Cleaned Responses'!G23="Disagree",2,IF('Cleaned Responses'!G23="Neutral",3,IF('Cleaned Responses'!G23="Agree",4,IF('Cleaned Responses'!G23="Strongly agree",5,"")))))</f>
        <v>4</v>
      </c>
      <c r="D23" s="3">
        <f>IF('Cleaned Responses'!H23="Strongly disagree",1,IF('Cleaned Responses'!H23="Disagree",2,IF('Cleaned Responses'!H23="Neutral",3,IF('Cleaned Responses'!H23="Agree",4,IF('Cleaned Responses'!H23="Strongly agree",5,"")))))</f>
        <v>5</v>
      </c>
      <c r="E23" s="3">
        <f>IF('Cleaned Responses'!I23="Strongly disagree",1,IF('Cleaned Responses'!I23="Disagree",2,IF('Cleaned Responses'!I23="Neutral",3,IF('Cleaned Responses'!I23="Agree",4,IF('Cleaned Responses'!I23="Strongly agree",5,"")))))</f>
        <v>5</v>
      </c>
      <c r="F23" s="3">
        <f>IF('Cleaned Responses'!J23="Strongly disagree",1,IF('Cleaned Responses'!J23="Disagree",2,IF('Cleaned Responses'!J23="Neutral",3,IF('Cleaned Responses'!J23="Agree",4,IF('Cleaned Responses'!J23="Strongly agree",5,"")))))</f>
        <v>4</v>
      </c>
      <c r="G23" s="3">
        <f>IF('Cleaned Responses'!K23="Strongly disagree",1,IF('Cleaned Responses'!K23="Disagree",2,IF('Cleaned Responses'!K23="Neutral",3,IF('Cleaned Responses'!K23="Agree",4,IF('Cleaned Responses'!K23="Strongly agree",5,"")))))</f>
        <v>4</v>
      </c>
      <c r="H23" s="3">
        <f>IF('Cleaned Responses'!L23="Strongly disagree",1,IF('Cleaned Responses'!L23="Disagree",2,IF('Cleaned Responses'!L23="Neutral",3,IF('Cleaned Responses'!L23="Agree",4,IF('Cleaned Responses'!L23="Strongly agree",5,"")))))</f>
        <v>4</v>
      </c>
      <c r="I23" s="3">
        <f>IF('Cleaned Responses'!M23="Strongly disagree",1,IF('Cleaned Responses'!M23="Disagree",2,IF('Cleaned Responses'!M23="Neutral",3,IF('Cleaned Responses'!M23="Agree",4,IF('Cleaned Responses'!M23="Strongly agree",5,"")))))</f>
        <v>5</v>
      </c>
      <c r="J23" s="3">
        <f>IF('Cleaned Responses'!N23="Strongly disagree",1,IF('Cleaned Responses'!N23="Disagree",2,IF('Cleaned Responses'!N23="Neutral",3,IF('Cleaned Responses'!N23="Agree",4,IF('Cleaned Responses'!N23="Strongly agree",5,"")))))</f>
        <v>5</v>
      </c>
      <c r="K23" s="3">
        <f>IF('Cleaned Responses'!O23="Strongly disagree",1,IF('Cleaned Responses'!O23="Disagree",2,IF('Cleaned Responses'!O23="Neutral",3,IF('Cleaned Responses'!O23="Agree",4,IF('Cleaned Responses'!O23="Strongly agree",5,"")))))</f>
        <v>4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>
        <v>23.0</v>
      </c>
      <c r="B24" s="3">
        <f>IF('Cleaned Responses'!F24="Strongly disagree",1,IF('Cleaned Responses'!F24="Disagree",2,IF('Cleaned Responses'!F24="Neutral",3,IF('Cleaned Responses'!F24="Agree",4,IF('Cleaned Responses'!F24="Strongly agree",5,"")))))</f>
        <v>4</v>
      </c>
      <c r="C24" s="3">
        <f>IF('Cleaned Responses'!G24="Strongly disagree",1,IF('Cleaned Responses'!G24="Disagree",2,IF('Cleaned Responses'!G24="Neutral",3,IF('Cleaned Responses'!G24="Agree",4,IF('Cleaned Responses'!G24="Strongly agree",5,"")))))</f>
        <v>5</v>
      </c>
      <c r="D24" s="3">
        <f>IF('Cleaned Responses'!H24="Strongly disagree",1,IF('Cleaned Responses'!H24="Disagree",2,IF('Cleaned Responses'!H24="Neutral",3,IF('Cleaned Responses'!H24="Agree",4,IF('Cleaned Responses'!H24="Strongly agree",5,"")))))</f>
        <v>5</v>
      </c>
      <c r="E24" s="3">
        <f>IF('Cleaned Responses'!I24="Strongly disagree",1,IF('Cleaned Responses'!I24="Disagree",2,IF('Cleaned Responses'!I24="Neutral",3,IF('Cleaned Responses'!I24="Agree",4,IF('Cleaned Responses'!I24="Strongly agree",5,"")))))</f>
        <v>3</v>
      </c>
      <c r="F24" s="3">
        <f>IF('Cleaned Responses'!J24="Strongly disagree",1,IF('Cleaned Responses'!J24="Disagree",2,IF('Cleaned Responses'!J24="Neutral",3,IF('Cleaned Responses'!J24="Agree",4,IF('Cleaned Responses'!J24="Strongly agree",5,"")))))</f>
        <v>3</v>
      </c>
      <c r="G24" s="3">
        <f>IF('Cleaned Responses'!K24="Strongly disagree",1,IF('Cleaned Responses'!K24="Disagree",2,IF('Cleaned Responses'!K24="Neutral",3,IF('Cleaned Responses'!K24="Agree",4,IF('Cleaned Responses'!K24="Strongly agree",5,"")))))</f>
        <v>5</v>
      </c>
      <c r="H24" s="3">
        <f>IF('Cleaned Responses'!L24="Strongly disagree",1,IF('Cleaned Responses'!L24="Disagree",2,IF('Cleaned Responses'!L24="Neutral",3,IF('Cleaned Responses'!L24="Agree",4,IF('Cleaned Responses'!L24="Strongly agree",5,"")))))</f>
        <v>4</v>
      </c>
      <c r="I24" s="3">
        <f>IF('Cleaned Responses'!M24="Strongly disagree",1,IF('Cleaned Responses'!M24="Disagree",2,IF('Cleaned Responses'!M24="Neutral",3,IF('Cleaned Responses'!M24="Agree",4,IF('Cleaned Responses'!M24="Strongly agree",5,"")))))</f>
        <v>5</v>
      </c>
      <c r="J24" s="3">
        <f>IF('Cleaned Responses'!N24="Strongly disagree",1,IF('Cleaned Responses'!N24="Disagree",2,IF('Cleaned Responses'!N24="Neutral",3,IF('Cleaned Responses'!N24="Agree",4,IF('Cleaned Responses'!N24="Strongly agree",5,"")))))</f>
        <v>5</v>
      </c>
      <c r="K24" s="3">
        <f>IF('Cleaned Responses'!O24="Strongly disagree",1,IF('Cleaned Responses'!O24="Disagree",2,IF('Cleaned Responses'!O24="Neutral",3,IF('Cleaned Responses'!O24="Agree",4,IF('Cleaned Responses'!O24="Strongly agree",5,"")))))</f>
        <v>5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6" width="16.0"/>
    <col customWidth="1" min="7" max="7" width="24.0"/>
    <col customWidth="1" min="8" max="9" width="12.0"/>
    <col customWidth="1" min="10" max="10" width="8.63"/>
    <col customWidth="1" min="11" max="11" width="10.0"/>
    <col customWidth="1" min="12" max="12" width="80.0"/>
    <col customWidth="1" min="13" max="26" width="8.63"/>
  </cols>
  <sheetData>
    <row r="1">
      <c r="A1" s="1" t="s">
        <v>5</v>
      </c>
      <c r="B1" s="1" t="s">
        <v>59</v>
      </c>
      <c r="C1" s="1" t="s">
        <v>50</v>
      </c>
      <c r="D1" s="1" t="s">
        <v>35</v>
      </c>
      <c r="E1" s="1" t="s">
        <v>29</v>
      </c>
      <c r="F1" s="1" t="s">
        <v>30</v>
      </c>
      <c r="G1" s="1" t="s">
        <v>67</v>
      </c>
      <c r="H1" s="1" t="s">
        <v>68</v>
      </c>
      <c r="I1" s="1" t="s">
        <v>69</v>
      </c>
      <c r="J1" s="3"/>
      <c r="K1" s="1" t="s">
        <v>5</v>
      </c>
      <c r="L1" s="1" t="s">
        <v>70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</v>
      </c>
      <c r="B2" s="3">
        <f>COUNTIF('Cleaned Responses'!$F$2:$F$24,"Strongly disagree")</f>
        <v>1</v>
      </c>
      <c r="C2" s="3">
        <f>COUNTIF('Cleaned Responses'!$F$2:$F$24,"Disagree")</f>
        <v>0</v>
      </c>
      <c r="D2" s="3">
        <f>COUNTIF('Cleaned Responses'!$F$2:$F$24,"Neutral")</f>
        <v>6</v>
      </c>
      <c r="E2" s="3">
        <f>COUNTIF('Cleaned Responses'!$F$2:$F$24,"Agree")</f>
        <v>12</v>
      </c>
      <c r="F2" s="3">
        <f>COUNTIF('Cleaned Responses'!$F$2:$F$24,"Strongly agree")</f>
        <v>4</v>
      </c>
      <c r="G2" s="6">
        <f t="shared" ref="G2:G11" si="1">(E2+F2)/23</f>
        <v>0.6956521739</v>
      </c>
      <c r="H2" s="7">
        <f>AVERAGE('Likert Scores'!$B$2:$B$24)</f>
        <v>3.782608696</v>
      </c>
      <c r="I2" s="8">
        <f>MEDIAN('Likert Scores'!$B$2:$B$24)</f>
        <v>4</v>
      </c>
      <c r="J2" s="3"/>
      <c r="K2" s="3" t="s">
        <v>3</v>
      </c>
      <c r="L2" s="4" t="s">
        <v>18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</v>
      </c>
      <c r="B3" s="3">
        <f>COUNTIF('Cleaned Responses'!$G$2:$G$24,"Strongly disagree")</f>
        <v>0</v>
      </c>
      <c r="C3" s="3">
        <f>COUNTIF('Cleaned Responses'!$G$2:$G$24,"Disagree")</f>
        <v>0</v>
      </c>
      <c r="D3" s="3">
        <f>COUNTIF('Cleaned Responses'!$G$2:$G$24,"Neutral")</f>
        <v>3</v>
      </c>
      <c r="E3" s="3">
        <f>COUNTIF('Cleaned Responses'!$G$2:$G$24,"Agree")</f>
        <v>13</v>
      </c>
      <c r="F3" s="3">
        <f>COUNTIF('Cleaned Responses'!$G$2:$G$24,"Strongly agree")</f>
        <v>7</v>
      </c>
      <c r="G3" s="6">
        <f t="shared" si="1"/>
        <v>0.8695652174</v>
      </c>
      <c r="H3" s="7">
        <f>AVERAGE('Likert Scores'!$C$2:$C$24)</f>
        <v>4.173913043</v>
      </c>
      <c r="I3" s="8">
        <f>MEDIAN('Likert Scores'!$C$2:$C$24)</f>
        <v>4</v>
      </c>
      <c r="J3" s="3"/>
      <c r="K3" s="3" t="s">
        <v>4</v>
      </c>
      <c r="L3" s="4" t="s">
        <v>20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</v>
      </c>
      <c r="B4" s="3">
        <f>COUNTIF('Cleaned Responses'!$H$2:$H$24,"Strongly disagree")</f>
        <v>0</v>
      </c>
      <c r="C4" s="3">
        <f>COUNTIF('Cleaned Responses'!$H$2:$H$24,"Disagree")</f>
        <v>1</v>
      </c>
      <c r="D4" s="3">
        <f>COUNTIF('Cleaned Responses'!$H$2:$H$24,"Neutral")</f>
        <v>3</v>
      </c>
      <c r="E4" s="3">
        <f>COUNTIF('Cleaned Responses'!$H$2:$H$24,"Agree")</f>
        <v>8</v>
      </c>
      <c r="F4" s="3">
        <f>COUNTIF('Cleaned Responses'!$H$2:$H$24,"Strongly agree")</f>
        <v>11</v>
      </c>
      <c r="G4" s="6">
        <f t="shared" si="1"/>
        <v>0.8260869565</v>
      </c>
      <c r="H4" s="7">
        <f>AVERAGE('Likert Scores'!$D$2:$D$24)</f>
        <v>4.260869565</v>
      </c>
      <c r="I4" s="8">
        <f>MEDIAN('Likert Scores'!$D$2:$D$24)</f>
        <v>4</v>
      </c>
      <c r="J4" s="3"/>
      <c r="K4" s="3" t="s">
        <v>6</v>
      </c>
      <c r="L4" s="4" t="s">
        <v>22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</v>
      </c>
      <c r="B5" s="3">
        <f>COUNTIF('Cleaned Responses'!$I$2:$I$24,"Strongly disagree")</f>
        <v>0</v>
      </c>
      <c r="C5" s="3">
        <f>COUNTIF('Cleaned Responses'!$I$2:$I$24,"Disagree")</f>
        <v>2</v>
      </c>
      <c r="D5" s="3">
        <f>COUNTIF('Cleaned Responses'!$I$2:$I$24,"Neutral")</f>
        <v>10</v>
      </c>
      <c r="E5" s="3">
        <f>COUNTIF('Cleaned Responses'!$I$2:$I$24,"Agree")</f>
        <v>8</v>
      </c>
      <c r="F5" s="3">
        <f>COUNTIF('Cleaned Responses'!$I$2:$I$24,"Strongly agree")</f>
        <v>3</v>
      </c>
      <c r="G5" s="6">
        <f t="shared" si="1"/>
        <v>0.4782608696</v>
      </c>
      <c r="H5" s="7">
        <f>AVERAGE('Likert Scores'!$E$2:$E$24)</f>
        <v>3.52173913</v>
      </c>
      <c r="I5" s="8">
        <f>MEDIAN('Likert Scores'!$E$2:$E$24)</f>
        <v>3</v>
      </c>
      <c r="J5" s="3"/>
      <c r="K5" s="3" t="s">
        <v>7</v>
      </c>
      <c r="L5" s="4" t="s">
        <v>24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8</v>
      </c>
      <c r="B6" s="3">
        <f>COUNTIF('Cleaned Responses'!$J$2:$J$24,"Strongly disagree")</f>
        <v>0</v>
      </c>
      <c r="C6" s="3">
        <f>COUNTIF('Cleaned Responses'!$J$2:$J$24,"Disagree")</f>
        <v>0</v>
      </c>
      <c r="D6" s="3">
        <f>COUNTIF('Cleaned Responses'!$J$2:$J$24,"Neutral")</f>
        <v>10</v>
      </c>
      <c r="E6" s="3">
        <f>COUNTIF('Cleaned Responses'!$J$2:$J$24,"Agree")</f>
        <v>10</v>
      </c>
      <c r="F6" s="3">
        <f>COUNTIF('Cleaned Responses'!$J$2:$J$24,"Strongly agree")</f>
        <v>3</v>
      </c>
      <c r="G6" s="6">
        <f t="shared" si="1"/>
        <v>0.5652173913</v>
      </c>
      <c r="H6" s="7">
        <f>AVERAGE('Likert Scores'!$F$2:$F$24)</f>
        <v>3.695652174</v>
      </c>
      <c r="I6" s="8">
        <f>MEDIAN('Likert Scores'!$F$2:$F$24)</f>
        <v>4</v>
      </c>
      <c r="J6" s="3"/>
      <c r="K6" s="3" t="s">
        <v>8</v>
      </c>
      <c r="L6" s="4" t="s">
        <v>27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9</v>
      </c>
      <c r="B7" s="3">
        <f>COUNTIF('Cleaned Responses'!$K$2:$K$24,"Strongly disagree")</f>
        <v>0</v>
      </c>
      <c r="C7" s="3">
        <f>COUNTIF('Cleaned Responses'!$K$2:$K$24,"Disagree")</f>
        <v>0</v>
      </c>
      <c r="D7" s="3">
        <f>COUNTIF('Cleaned Responses'!$K$2:$K$24,"Neutral")</f>
        <v>3</v>
      </c>
      <c r="E7" s="3">
        <f>COUNTIF('Cleaned Responses'!$K$2:$K$24,"Agree")</f>
        <v>12</v>
      </c>
      <c r="F7" s="3">
        <f>COUNTIF('Cleaned Responses'!$K$2:$K$24,"Strongly agree")</f>
        <v>8</v>
      </c>
      <c r="G7" s="6">
        <f t="shared" si="1"/>
        <v>0.8695652174</v>
      </c>
      <c r="H7" s="7">
        <f>AVERAGE('Likert Scores'!$G$2:$G$24)</f>
        <v>4.217391304</v>
      </c>
      <c r="I7" s="8">
        <f>MEDIAN('Likert Scores'!$G$2:$G$24)</f>
        <v>4</v>
      </c>
      <c r="J7" s="3"/>
      <c r="K7" s="3" t="s">
        <v>9</v>
      </c>
      <c r="L7" s="4" t="s">
        <v>31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10</v>
      </c>
      <c r="B8" s="3">
        <f>COUNTIF('Cleaned Responses'!$L$2:$L$24,"Strongly disagree")</f>
        <v>0</v>
      </c>
      <c r="C8" s="3">
        <f>COUNTIF('Cleaned Responses'!$L$2:$L$24,"Disagree")</f>
        <v>1</v>
      </c>
      <c r="D8" s="3">
        <f>COUNTIF('Cleaned Responses'!$L$2:$L$24,"Neutral")</f>
        <v>5</v>
      </c>
      <c r="E8" s="3">
        <f>COUNTIF('Cleaned Responses'!$L$2:$L$24,"Agree")</f>
        <v>12</v>
      </c>
      <c r="F8" s="3">
        <f>COUNTIF('Cleaned Responses'!$L$2:$L$24,"Strongly agree")</f>
        <v>5</v>
      </c>
      <c r="G8" s="6">
        <f t="shared" si="1"/>
        <v>0.7391304348</v>
      </c>
      <c r="H8" s="7">
        <f>AVERAGE('Likert Scores'!$H$2:$H$24)</f>
        <v>3.913043478</v>
      </c>
      <c r="I8" s="8">
        <f>MEDIAN('Likert Scores'!$H$2:$H$24)</f>
        <v>4</v>
      </c>
      <c r="J8" s="3"/>
      <c r="K8" s="3" t="s">
        <v>10</v>
      </c>
      <c r="L8" s="4" t="s">
        <v>34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12</v>
      </c>
      <c r="B9" s="3">
        <f>COUNTIF('Cleaned Responses'!$M$2:$M$24,"Strongly disagree")</f>
        <v>0</v>
      </c>
      <c r="C9" s="3">
        <f>COUNTIF('Cleaned Responses'!$M$2:$M$24,"Disagree")</f>
        <v>0</v>
      </c>
      <c r="D9" s="3">
        <f>COUNTIF('Cleaned Responses'!$M$2:$M$24,"Neutral")</f>
        <v>3</v>
      </c>
      <c r="E9" s="3">
        <f>COUNTIF('Cleaned Responses'!$M$2:$M$24,"Agree")</f>
        <v>8</v>
      </c>
      <c r="F9" s="3">
        <f>COUNTIF('Cleaned Responses'!$M$2:$M$24,"Strongly agree")</f>
        <v>12</v>
      </c>
      <c r="G9" s="6">
        <f t="shared" si="1"/>
        <v>0.8695652174</v>
      </c>
      <c r="H9" s="7">
        <f>AVERAGE('Likert Scores'!$I$2:$I$24)</f>
        <v>4.391304348</v>
      </c>
      <c r="I9" s="8">
        <f>MEDIAN('Likert Scores'!$I$2:$I$24)</f>
        <v>5</v>
      </c>
      <c r="J9" s="3"/>
      <c r="K9" s="3" t="s">
        <v>12</v>
      </c>
      <c r="L9" s="4" t="s">
        <v>37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14</v>
      </c>
      <c r="B10" s="3">
        <f>COUNTIF('Cleaned Responses'!$N$2:$N$24,"Strongly disagree")</f>
        <v>0</v>
      </c>
      <c r="C10" s="3">
        <f>COUNTIF('Cleaned Responses'!$N$2:$N$24,"Disagree")</f>
        <v>1</v>
      </c>
      <c r="D10" s="3">
        <f>COUNTIF('Cleaned Responses'!$N$2:$N$24,"Neutral")</f>
        <v>3</v>
      </c>
      <c r="E10" s="3">
        <f>COUNTIF('Cleaned Responses'!$N$2:$N$24,"Agree")</f>
        <v>9</v>
      </c>
      <c r="F10" s="3">
        <f>COUNTIF('Cleaned Responses'!$N$2:$N$24,"Strongly agree")</f>
        <v>10</v>
      </c>
      <c r="G10" s="6">
        <f t="shared" si="1"/>
        <v>0.8260869565</v>
      </c>
      <c r="H10" s="7">
        <f>AVERAGE('Likert Scores'!$J$2:$J$24)</f>
        <v>4.217391304</v>
      </c>
      <c r="I10" s="8">
        <f>MEDIAN('Likert Scores'!$J$2:$J$24)</f>
        <v>4</v>
      </c>
      <c r="J10" s="3"/>
      <c r="K10" s="3" t="s">
        <v>14</v>
      </c>
      <c r="L10" s="4" t="s">
        <v>40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16</v>
      </c>
      <c r="B11" s="3">
        <f>COUNTIF('Cleaned Responses'!$O$2:$O$24,"Strongly disagree")</f>
        <v>0</v>
      </c>
      <c r="C11" s="3">
        <f>COUNTIF('Cleaned Responses'!$O$2:$O$24,"Disagree")</f>
        <v>0</v>
      </c>
      <c r="D11" s="3">
        <f>COUNTIF('Cleaned Responses'!$O$2:$O$24,"Neutral")</f>
        <v>2</v>
      </c>
      <c r="E11" s="3">
        <f>COUNTIF('Cleaned Responses'!$O$2:$O$24,"Agree")</f>
        <v>8</v>
      </c>
      <c r="F11" s="3">
        <f>COUNTIF('Cleaned Responses'!$O$2:$O$24,"Strongly agree")</f>
        <v>13</v>
      </c>
      <c r="G11" s="6">
        <f t="shared" si="1"/>
        <v>0.9130434783</v>
      </c>
      <c r="H11" s="7">
        <f>AVERAGE('Likert Scores'!$K$2:$K$24)</f>
        <v>4.47826087</v>
      </c>
      <c r="I11" s="8">
        <f>MEDIAN('Likert Scores'!$K$2:$K$24)</f>
        <v>5</v>
      </c>
      <c r="J11" s="3"/>
      <c r="K11" s="3" t="s">
        <v>16</v>
      </c>
      <c r="L11" s="4" t="s">
        <v>42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3" width="22.0"/>
    <col customWidth="1" min="4" max="4" width="8.63"/>
    <col customWidth="1" min="5" max="7" width="22.0"/>
    <col customWidth="1" min="8" max="8" width="8.63"/>
    <col customWidth="1" min="9" max="11" width="22.0"/>
    <col customWidth="1" min="12" max="26" width="8.63"/>
  </cols>
  <sheetData>
    <row r="1">
      <c r="A1" s="1" t="s">
        <v>13</v>
      </c>
      <c r="B1" s="1" t="s">
        <v>71</v>
      </c>
      <c r="C1" s="1" t="s">
        <v>72</v>
      </c>
      <c r="D1" s="3"/>
      <c r="E1" s="1" t="s">
        <v>15</v>
      </c>
      <c r="F1" s="1" t="s">
        <v>71</v>
      </c>
      <c r="G1" s="1" t="s">
        <v>72</v>
      </c>
      <c r="H1" s="3"/>
      <c r="I1" s="1" t="s">
        <v>17</v>
      </c>
      <c r="J1" s="1" t="s">
        <v>71</v>
      </c>
      <c r="K1" s="1" t="s">
        <v>72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41</v>
      </c>
      <c r="B2" s="3">
        <f>COUNTIF('Cleaned Responses'!$C$2:$C$24,A2)</f>
        <v>11</v>
      </c>
      <c r="C2" s="6">
        <f t="shared" ref="C2:C6" si="1">B2/23</f>
        <v>0.4782608696</v>
      </c>
      <c r="D2" s="3"/>
      <c r="E2" s="3" t="s">
        <v>33</v>
      </c>
      <c r="F2" s="3">
        <f>COUNTIF('Cleaned Responses'!$D$2:$D$24,E2)</f>
        <v>4</v>
      </c>
      <c r="G2" s="6">
        <f t="shared" ref="G2:G6" si="2">F2/23</f>
        <v>0.1739130435</v>
      </c>
      <c r="H2" s="3"/>
      <c r="I2" s="3">
        <v>1.0</v>
      </c>
      <c r="J2" s="3">
        <f>COUNTIF('Cleaned Responses'!$E$2:$E$24,I2)</f>
        <v>1</v>
      </c>
      <c r="K2" s="6">
        <f t="shared" ref="K2:K6" si="3">J2/23</f>
        <v>0.04347826087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47</v>
      </c>
      <c r="B3" s="3">
        <f>COUNTIF('Cleaned Responses'!$C$2:$C$24,A3)</f>
        <v>4</v>
      </c>
      <c r="C3" s="6">
        <f t="shared" si="1"/>
        <v>0.1739130435</v>
      </c>
      <c r="D3" s="3"/>
      <c r="E3" s="3" t="s">
        <v>48</v>
      </c>
      <c r="F3" s="3">
        <f>COUNTIF('Cleaned Responses'!$D$2:$D$24,E3)</f>
        <v>6</v>
      </c>
      <c r="G3" s="6">
        <f t="shared" si="2"/>
        <v>0.2608695652</v>
      </c>
      <c r="H3" s="3"/>
      <c r="I3" s="3">
        <v>2.0</v>
      </c>
      <c r="J3" s="3">
        <f>COUNTIF('Cleaned Responses'!$E$2:$E$24,I3)</f>
        <v>1</v>
      </c>
      <c r="K3" s="6">
        <f t="shared" si="3"/>
        <v>0.04347826087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26</v>
      </c>
      <c r="B4" s="3">
        <f>COUNTIF('Cleaned Responses'!$C$2:$C$24,A4)</f>
        <v>3</v>
      </c>
      <c r="C4" s="6">
        <f t="shared" si="1"/>
        <v>0.1304347826</v>
      </c>
      <c r="D4" s="3"/>
      <c r="E4" s="3" t="s">
        <v>54</v>
      </c>
      <c r="F4" s="3">
        <f>COUNTIF('Cleaned Responses'!$D$2:$D$24,E4)</f>
        <v>5</v>
      </c>
      <c r="G4" s="6">
        <f t="shared" si="2"/>
        <v>0.2173913043</v>
      </c>
      <c r="H4" s="3"/>
      <c r="I4" s="3">
        <v>3.0</v>
      </c>
      <c r="J4" s="3">
        <f>COUNTIF('Cleaned Responses'!$E$2:$E$24,I4)</f>
        <v>5</v>
      </c>
      <c r="K4" s="6">
        <f t="shared" si="3"/>
        <v>0.2173913043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32</v>
      </c>
      <c r="B5" s="3">
        <f>COUNTIF('Cleaned Responses'!$C$2:$C$24,A5)</f>
        <v>3</v>
      </c>
      <c r="C5" s="6">
        <f t="shared" si="1"/>
        <v>0.1304347826</v>
      </c>
      <c r="D5" s="3"/>
      <c r="E5" s="3" t="s">
        <v>39</v>
      </c>
      <c r="F5" s="3">
        <f>COUNTIF('Cleaned Responses'!$D$2:$D$24,E5)</f>
        <v>6</v>
      </c>
      <c r="G5" s="6">
        <f t="shared" si="2"/>
        <v>0.2608695652</v>
      </c>
      <c r="H5" s="3"/>
      <c r="I5" s="3">
        <v>4.0</v>
      </c>
      <c r="J5" s="3">
        <f>COUNTIF('Cleaned Responses'!$E$2:$E$24,I5)</f>
        <v>8</v>
      </c>
      <c r="K5" s="6">
        <f t="shared" si="3"/>
        <v>0.347826087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38</v>
      </c>
      <c r="B6" s="3">
        <f>COUNTIF('Cleaned Responses'!$C$2:$C$24,A6)</f>
        <v>2</v>
      </c>
      <c r="C6" s="6">
        <f t="shared" si="1"/>
        <v>0.08695652174</v>
      </c>
      <c r="D6" s="3"/>
      <c r="E6" s="3" t="s">
        <v>28</v>
      </c>
      <c r="F6" s="3">
        <f>COUNTIF('Cleaned Responses'!$D$2:$D$24,E6)</f>
        <v>2</v>
      </c>
      <c r="G6" s="6">
        <f t="shared" si="2"/>
        <v>0.08695652174</v>
      </c>
      <c r="H6" s="3"/>
      <c r="I6" s="3">
        <v>5.0</v>
      </c>
      <c r="J6" s="3">
        <f>COUNTIF('Cleaned Responses'!$E$2:$E$24,I6)</f>
        <v>8</v>
      </c>
      <c r="K6" s="6">
        <f t="shared" si="3"/>
        <v>0.347826087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/>
      <c r="B8" s="3"/>
      <c r="C8" s="3"/>
      <c r="D8" s="3"/>
      <c r="E8" s="3"/>
      <c r="F8" s="3"/>
      <c r="G8" s="3"/>
      <c r="H8" s="3"/>
      <c r="I8" s="9" t="s">
        <v>90</v>
      </c>
      <c r="J8" s="9" t="s">
        <v>91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 t="s">
        <v>68</v>
      </c>
      <c r="J9" s="7">
        <f>AVERAGE('Cleaned Responses'!$E$2:$E$24)</f>
        <v>3.913043478</v>
      </c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 t="s">
        <v>69</v>
      </c>
      <c r="J10" s="8">
        <f>MEDIAN('Cleaned Responses'!$E$2:$E$24)</f>
        <v>4</v>
      </c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70.0"/>
    <col customWidth="1" min="3" max="3" width="48.0"/>
    <col customWidth="1" min="4" max="26" width="8.63"/>
  </cols>
  <sheetData>
    <row r="1" ht="39.75" customHeight="1">
      <c r="A1" s="2" t="s">
        <v>5</v>
      </c>
      <c r="B1" s="2" t="s">
        <v>73</v>
      </c>
      <c r="C1" s="2" t="s">
        <v>74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9.75" customHeight="1">
      <c r="A2" s="4" t="s">
        <v>45</v>
      </c>
      <c r="B2" s="4" t="s">
        <v>36</v>
      </c>
      <c r="C2" s="4" t="s">
        <v>75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39.75" customHeight="1">
      <c r="A3" s="4" t="s">
        <v>45</v>
      </c>
      <c r="B3" s="4" t="s">
        <v>43</v>
      </c>
      <c r="C3" s="4" t="s">
        <v>75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9.75" customHeight="1">
      <c r="A4" s="4" t="s">
        <v>45</v>
      </c>
      <c r="B4" s="4" t="s">
        <v>52</v>
      </c>
      <c r="C4" s="4" t="s">
        <v>76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39.75" customHeight="1">
      <c r="A5" s="4" t="s">
        <v>45</v>
      </c>
      <c r="B5" s="4" t="s">
        <v>55</v>
      </c>
      <c r="C5" s="4" t="s">
        <v>77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9.75" customHeight="1">
      <c r="A6" s="4" t="s">
        <v>45</v>
      </c>
      <c r="B6" s="4" t="s">
        <v>57</v>
      </c>
      <c r="C6" s="4" t="s">
        <v>78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39.75" customHeight="1">
      <c r="A7" s="4" t="s">
        <v>45</v>
      </c>
      <c r="B7" s="4" t="s">
        <v>60</v>
      </c>
      <c r="C7" s="4" t="s">
        <v>79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39.75" customHeight="1">
      <c r="A8" s="4" t="s">
        <v>45</v>
      </c>
      <c r="B8" s="4" t="s">
        <v>62</v>
      </c>
      <c r="C8" s="4" t="s">
        <v>80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9.75" customHeight="1">
      <c r="A9" s="4" t="s">
        <v>45</v>
      </c>
      <c r="B9" s="4" t="s">
        <v>65</v>
      </c>
      <c r="C9" s="4" t="s">
        <v>81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9.75" customHeight="1">
      <c r="A10" s="4" t="s">
        <v>49</v>
      </c>
      <c r="B10" s="4" t="s">
        <v>44</v>
      </c>
      <c r="C10" s="4" t="s">
        <v>82</v>
      </c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9.75" customHeight="1">
      <c r="A11" s="4" t="s">
        <v>49</v>
      </c>
      <c r="B11" s="4" t="s">
        <v>53</v>
      </c>
      <c r="C11" s="4" t="s">
        <v>83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39.75" customHeight="1">
      <c r="A12" s="4" t="s">
        <v>49</v>
      </c>
      <c r="B12" s="4" t="s">
        <v>56</v>
      </c>
      <c r="C12" s="4" t="s">
        <v>84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39.75" customHeight="1">
      <c r="A13" s="4" t="s">
        <v>49</v>
      </c>
      <c r="B13" s="4" t="s">
        <v>58</v>
      </c>
      <c r="C13" s="4" t="s">
        <v>85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9.75" customHeight="1">
      <c r="A14" s="4" t="s">
        <v>49</v>
      </c>
      <c r="B14" s="4" t="s">
        <v>61</v>
      </c>
      <c r="C14" s="4" t="s">
        <v>86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9.75" customHeight="1">
      <c r="A15" s="4" t="s">
        <v>49</v>
      </c>
      <c r="B15" s="4" t="s">
        <v>63</v>
      </c>
      <c r="C15" s="4" t="s">
        <v>87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39.75" customHeight="1">
      <c r="A16" s="4" t="s">
        <v>49</v>
      </c>
      <c r="B16" s="4" t="s">
        <v>64</v>
      </c>
      <c r="C16" s="4" t="s">
        <v>88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39.75" customHeight="1">
      <c r="A17" s="4" t="s">
        <v>49</v>
      </c>
      <c r="B17" s="4" t="s">
        <v>66</v>
      </c>
      <c r="C17" s="4" t="s">
        <v>89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12.0"/>
    <col customWidth="1" min="3" max="3" width="24.0"/>
    <col customWidth="1" min="4" max="4" width="52.0"/>
    <col customWidth="1" min="5" max="5" width="8.63"/>
    <col customWidth="1" min="6" max="8" width="22.0"/>
    <col customWidth="1" min="9" max="26" width="8.63"/>
  </cols>
  <sheetData>
    <row r="1">
      <c r="A1" s="2" t="s">
        <v>92</v>
      </c>
      <c r="B1" s="2" t="s">
        <v>71</v>
      </c>
      <c r="C1" s="2" t="s">
        <v>93</v>
      </c>
      <c r="D1" s="2" t="s">
        <v>94</v>
      </c>
      <c r="E1" s="3"/>
      <c r="F1" s="10" t="s">
        <v>95</v>
      </c>
      <c r="G1" s="10"/>
      <c r="H1" s="10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76</v>
      </c>
      <c r="B2" s="3">
        <v>6.0</v>
      </c>
      <c r="C2" s="6">
        <v>0.75</v>
      </c>
      <c r="D2" s="3" t="s">
        <v>96</v>
      </c>
      <c r="E2" s="3"/>
      <c r="F2" s="3" t="s">
        <v>97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98</v>
      </c>
      <c r="B3" s="3">
        <v>3.0</v>
      </c>
      <c r="C3" s="6">
        <v>0.375</v>
      </c>
      <c r="D3" s="3" t="s">
        <v>96</v>
      </c>
      <c r="E3" s="3"/>
      <c r="F3" s="3" t="s">
        <v>99</v>
      </c>
      <c r="G3" s="3">
        <v>8.0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100</v>
      </c>
      <c r="B4" s="3">
        <v>2.0</v>
      </c>
      <c r="C4" s="6">
        <v>0.25</v>
      </c>
      <c r="D4" s="3" t="s">
        <v>96</v>
      </c>
      <c r="E4" s="3"/>
      <c r="F4" s="3" t="s">
        <v>101</v>
      </c>
      <c r="G4" s="3">
        <v>8.0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78</v>
      </c>
      <c r="B5" s="3">
        <v>1.0</v>
      </c>
      <c r="C5" s="6">
        <v>0.125</v>
      </c>
      <c r="D5" s="3" t="s">
        <v>96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102</v>
      </c>
      <c r="B6" s="3">
        <v>1.0</v>
      </c>
      <c r="C6" s="6">
        <v>0.125</v>
      </c>
      <c r="D6" s="3" t="s">
        <v>96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103</v>
      </c>
      <c r="B7" s="3">
        <v>1.0</v>
      </c>
      <c r="C7" s="6">
        <v>0.125</v>
      </c>
      <c r="D7" s="3" t="s">
        <v>96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104</v>
      </c>
      <c r="B8" s="3">
        <v>1.0</v>
      </c>
      <c r="C8" s="6">
        <v>0.125</v>
      </c>
      <c r="D8" s="3" t="s">
        <v>96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105</v>
      </c>
      <c r="B11" s="1" t="s">
        <v>71</v>
      </c>
      <c r="C11" s="1" t="s">
        <v>106</v>
      </c>
      <c r="D11" s="1" t="s">
        <v>94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107</v>
      </c>
      <c r="B12" s="3">
        <v>4.0</v>
      </c>
      <c r="C12" s="6">
        <v>0.5</v>
      </c>
      <c r="D12" s="3" t="s">
        <v>96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82</v>
      </c>
      <c r="B13" s="3">
        <v>2.0</v>
      </c>
      <c r="C13" s="6">
        <v>0.25</v>
      </c>
      <c r="D13" s="3" t="s">
        <v>96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108</v>
      </c>
      <c r="B14" s="3">
        <v>3.0</v>
      </c>
      <c r="C14" s="6">
        <v>0.375</v>
      </c>
      <c r="D14" s="3" t="s">
        <v>96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109</v>
      </c>
      <c r="B15" s="3">
        <v>2.0</v>
      </c>
      <c r="C15" s="6">
        <v>0.25</v>
      </c>
      <c r="D15" s="3" t="s">
        <v>96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110</v>
      </c>
      <c r="B16" s="3">
        <v>1.0</v>
      </c>
      <c r="C16" s="6">
        <v>0.125</v>
      </c>
      <c r="D16" s="3" t="s">
        <v>96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111</v>
      </c>
      <c r="B17" s="3">
        <v>1.0</v>
      </c>
      <c r="C17" s="6">
        <v>0.125</v>
      </c>
      <c r="D17" s="3" t="s">
        <v>96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88</v>
      </c>
      <c r="B18" s="3">
        <v>1.0</v>
      </c>
      <c r="C18" s="6">
        <v>0.125</v>
      </c>
      <c r="D18" s="3" t="s">
        <v>96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112</v>
      </c>
      <c r="B19" s="3">
        <v>1.0</v>
      </c>
      <c r="C19" s="6">
        <v>0.125</v>
      </c>
      <c r="D19" s="3" t="s">
        <v>96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8.0"/>
    <col customWidth="1" min="3" max="26" width="8.63"/>
  </cols>
  <sheetData>
    <row r="1">
      <c r="A1" s="11" t="s">
        <v>113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9" t="s">
        <v>114</v>
      </c>
      <c r="B4" s="9" t="s">
        <v>91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115</v>
      </c>
      <c r="B5" s="3">
        <v>23.0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116</v>
      </c>
      <c r="B6" s="3">
        <v>8.0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117</v>
      </c>
      <c r="B7" s="3">
        <v>8.0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118</v>
      </c>
      <c r="B8" s="7">
        <f>'Participant Summary'!J9</f>
        <v>3.913043478</v>
      </c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9" t="s">
        <v>119</v>
      </c>
      <c r="B10" s="9" t="s">
        <v>120</v>
      </c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121</v>
      </c>
      <c r="B11" s="6">
        <f>'Likert Summary'!G11</f>
        <v>0.9130434783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122</v>
      </c>
      <c r="B12" s="6">
        <f>'Likert Summary'!G9</f>
        <v>0.8695652174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123</v>
      </c>
      <c r="B13" s="6">
        <f>'Likert Summary'!G3</f>
        <v>0.8695652174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H2"/>
  </mergeCells>
  <printOptions/>
  <pageMargins bottom="0.75" footer="0.0" header="0.0" left="0.7" right="0.7" top="0.75"/>
  <pageSetup orientation="landscape"/>
  <drawing r:id="rId1"/>
</worksheet>
</file>