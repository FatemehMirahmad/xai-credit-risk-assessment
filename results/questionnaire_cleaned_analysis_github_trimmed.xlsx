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228d6f85b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Key" sheetId="2" r:id="Rc00fde1bc3fa423b"/>
    <x:sheet xmlns:r="http://schemas.openxmlformats.org/officeDocument/2006/relationships" name="Likert Summary" sheetId="4" r:id="Rba2611d6918f44d4"/>
    <x:sheet xmlns:r="http://schemas.openxmlformats.org/officeDocument/2006/relationships" name="Participant Summary" sheetId="5" r:id="Rab5ca5c71a8f444b"/>
    <x:sheet xmlns:r="http://schemas.openxmlformats.org/officeDocument/2006/relationships" name="Theme Analysis" sheetId="7" r:id="Re6de5754bcca43d8"/>
    <x:sheet xmlns:r="http://schemas.openxmlformats.org/officeDocument/2006/relationships" name="Dashboard" sheetId="8" r:id="R1419f496251a443c"/>
  </x:sheets>
</x:workbook>
</file>

<file path=xl/sharedStrings.xml><?xml version="1.0" encoding="utf-8"?>
<x:sst xmlns:x="http://schemas.openxmlformats.org/spreadsheetml/2006/main">
  <x:si>
    <x:t xml:space="preserve">Code</x:t>
  </x:si>
  <x:si>
    <x:t xml:space="preserve">Question</x:t>
  </x:si>
  <x:si>
    <x:t xml:space="preserve">Q1</x:t>
  </x:si>
  <x:si>
    <x:t xml:space="preserve">1. Predictive accuracy is one of the most important factors when selecting a credit-risk model.</x:t>
  </x:si>
  <x:si>
    <x:t xml:space="preserve">Q2</x:t>
  </x:si>
  <x:si>
    <x:t xml:space="preserve">2. I would be less willing to trust a highly accurate model if I could not understand how it reached its decisions.</x:t>
  </x:si>
  <x:si>
    <x:t xml:space="preserve">Q3</x:t>
  </x:si>
  <x:si>
    <x:t xml:space="preserve">3. Explainability is especially important when a model rejects a borrower or predicts a high risk of default.</x:t>
  </x:si>
  <x:si>
    <x:t xml:space="preserve">Q4</x:t>
  </x:si>
  <x:si>
    <x:t xml:space="preserve">4. Simpler models such as Logistic Regression may be preferable when their predictive performance is close to that of more complex models.</x:t>
  </x:si>
  <x:si>
    <x:t xml:space="preserve">Q5</x:t>
  </x:si>
  <x:si>
    <x:t xml:space="preserve">5. Explainability tools such as SHAP can make complex machine-learning models more useful in financial decision-making.</x:t>
  </x:si>
  <x:si>
    <x:t xml:space="preserve">Q6</x:t>
  </x:si>
  <x:si>
    <x:t xml:space="preserve">6. Consistency between different explanation methods would increase my confidence in a model.</x:t>
  </x:si>
  <x:si>
    <x:t xml:space="preserve">Q7</x:t>
  </x:si>
  <x:si>
    <x:t xml:space="preserve">7. Credit-score information such as FICO is important when evaluating credit risk.</x:t>
  </x:si>
  <x:si>
    <x:t xml:space="preserve">Q8</x:t>
  </x:si>
  <x:si>
    <x:t xml:space="preserve">8. False negatives—failing to identify an actual default—are a serious concern in credit-risk modelling.</x:t>
  </x:si>
  <x:si>
    <x:t xml:space="preserve">Q9</x:t>
  </x:si>
  <x:si>
    <x:t xml:space="preserve">9. False positives—incorrectly classifying a reliable borrower as high risk—are also an important concern.</x:t>
  </x:si>
  <x:si>
    <x:t xml:space="preserve">Q10</x:t>
  </x:si>
  <x:si>
    <x:t xml:space="preserve">10. Human review should remain part of important credit decisions even when machine-learning models are used.</x:t>
  </x:si>
  <x:si>
    <x:t xml:space="preserve">Q11</x:t>
  </x:si>
  <x:si>
    <x:t xml:space="preserve">11. What information would you need before trusting a machine-learning model for credit-risk decisions?</x:t>
  </x:si>
  <x:si>
    <x:t xml:space="preserve">Q12</x:t>
  </x:si>
  <x:si>
    <x:t xml:space="preserve">12. What do you consider the main advantages or disadvantages of using explainable AI in credit-risk assessment?</x:t>
  </x:si>
  <x:si>
    <x:t xml:space="preserve">Q11 Theme</x:t>
  </x:si>
  <x:si>
    <x:t xml:space="preserve">Count</x:t>
  </x:si>
  <x:si>
    <x:t xml:space="preserve">% of Q11 open responses</x:t>
  </x:si>
  <x:si>
    <x:t xml:space="preserve">Interpretation</x:t>
  </x:si>
  <x:si>
    <x:t xml:space="preserve">Coding note</x:t>
  </x:si>
  <x:si>
    <x:t xml:space="preserve">Transparency / decision logic</x:t>
  </x:si>
  <x:si>
    <x:t xml:space="preserve">Multi-coded; one response may contribute to more than one theme.</x:t>
  </x:si>
  <x:si>
    <x:t xml:space="preserve">Open responses are multi-coded.</x:t>
  </x:si>
  <x:si>
    <x:t xml:space="preserve">Performance metrics</x:t>
  </x:si>
  <x:si>
    <x:t xml:space="preserve">Q11 n</x:t>
  </x:si>
  <x:si>
    <x:t xml:space="preserve">Feature importance / weighting</x:t>
  </x:si>
  <x:si>
    <x:t xml:space="preserve">Q12 n</x:t>
  </x:si>
  <x:si>
    <x:t xml:space="preserve">Data quality</x:t>
  </x:si>
  <x:si>
    <x:t xml:space="preserve">Stability / robustness</x:t>
  </x:si>
  <x:si>
    <x:t xml:space="preserve">Fairness</x:t>
  </x:si>
  <x:si>
    <x:t xml:space="preserve">Decision threshold</x:t>
  </x:si>
  <x:si>
    <x:t xml:space="preserve">Q12 Theme</x:t>
  </x:si>
  <x:si>
    <x:t xml:space="preserve">% of Q12 open responses</x:t>
  </x:si>
  <x:si>
    <x:t xml:space="preserve">Transparency / understanding</x:t>
  </x:si>
  <x:si>
    <x:t xml:space="preserve">Trust</x:t>
  </x:si>
  <x:si>
    <x:t xml:space="preserve">Efficiency / speed / scale</x:t>
  </x:si>
  <x:si>
    <x:t xml:space="preserve">Over-reliance / dependency</x:t>
  </x:si>
  <x:si>
    <x:t xml:space="preserve">Explanation / model limitations</x:t>
  </x:si>
  <x:si>
    <x:t xml:space="preserve">Bias / fairness</x:t>
  </x:si>
  <x:si>
    <x:t xml:space="preserve">Feature insight / model improvement</x:t>
  </x:si>
  <x:si>
    <x:t xml:space="preserve">Error risk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</x:si>
</x:sst>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1"/>
      <x:color rgb="FF00000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/>
    </x:xf>
    <x:xf numFmtId="0" fontId="1" fillId="2" borderId="0" xfId="0" applyFont="1" applyFill="1" applyAlignment="1">
      <x:alignment horizontal="center" vertical="top" wrapText="1"/>
    </x:xf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164" fontId="2" fillId="0" borderId="0" xfId="0" applyNumberFormat="1" applyFont="1" applyAlignment="1">
      <x:alignment vertical="top"/>
    </x:xf>
    <x:xf numFmtId="2" fontId="2" fillId="0" borderId="0" xfId="0" applyNumberFormat="1" applyFont="1" applyAlignment="1">
      <x:alignment vertical="top"/>
    </x:xf>
    <x:xf numFmtId="1" fontId="2" fillId="0" borderId="0" xfId="0" applyNumberFormat="1" applyFont="1" applyAlignment="1">
      <x:alignment vertical="top"/>
    </x:xf>
    <x:xf numFmtId="0" fontId="3" fillId="3" borderId="0" xfId="0" applyFont="1" applyFill="1" applyAlignment="1">
      <x:alignment horizontal="center" vertical="top"/>
    </x:xf>
    <x:xf numFmtId="0" fontId="1" fillId="2" borderId="0" xfId="0" applyFont="1" applyFill="1" applyAlignment="1">
      <x:alignment horizontal="center" vertical="center"/>
    </x:xf>
    <x:xf numFmtId="0" fontId="4" fillId="4" borderId="0" xfId="0" applyFont="1" applyFill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bd6be1c0f4a8a" /><Relationship Type="http://schemas.openxmlformats.org/officeDocument/2006/relationships/theme" Target="/xl/theme/theme1.xml" Id="Ra7f3ce9664434df1" /><Relationship Type="http://schemas.openxmlformats.org/officeDocument/2006/relationships/sharedStrings" Target="/xl/sharedStrings.xml" Id="R5079b5b7ff7c4474" /><Relationship Type="http://schemas.openxmlformats.org/officeDocument/2006/relationships/worksheet" Target="/xl/worksheets/sheet1.xml" Id="Rc00fde1bc3fa423b" /><Relationship Type="http://schemas.openxmlformats.org/officeDocument/2006/relationships/worksheet" Target="/xl/worksheets/sheet2.xml" Id="Rba2611d6918f44d4" /><Relationship Type="http://schemas.openxmlformats.org/officeDocument/2006/relationships/worksheet" Target="/xl/worksheets/sheet3.xml" Id="Rab5ca5c71a8f444b" /><Relationship Type="http://schemas.openxmlformats.org/officeDocument/2006/relationships/worksheet" Target="/xl/worksheets/sheet4.xml" Id="Re6de5754bcca43d8" /><Relationship Type="http://schemas.openxmlformats.org/officeDocument/2006/relationships/worksheet" Target="/xl/worksheets/sheet5.xml" Id="R1419f496251a44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9b8b1825b24b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0b5d459ed1b4cc5" /><Relationship Type="http://schemas.openxmlformats.org/officeDocument/2006/relationships/chart" Target="/xl/drawings/charts/chart3.xml" Id="R19cfb0ec3d7342b2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varyColors val="0"/>
        <c:ser>
          <c:idx val="0"/>
          <c:order val="0"/>
          <c:tx>
            <c:v>Mean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'Likert Summary'!$H$2:$H$11</c:f>
              <c:numCache>
                <c:formatCode>0.0</c:formatCode>
                <c:ptCount val="0"/>
              </c:numCache>
            </c:numRef>
          </c:val>
        </c:ser>
        <c:axId val="1994393344"/>
        <c:axId val="1359630864"/>
      </c:barChart>
      <c:catAx>
        <c:axId val="1994393344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59630864"/>
        <c:lblAlgn val="ctr"/>
        <c:lblOffset val="100"/>
        <c:noMultiLvlLbl val="0"/>
      </c:catAx>
      <c:valAx>
        <c:axId val="1359630864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Mean score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94393344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plotArea>
      <c:barChart>
        <c:barDir val="col"/>
        <c:varyColors val="0"/>
        <c:ser>
          <c:idx val="0"/>
          <c:order val="0"/>
          <c:tx>
            <c:v>Agree + Strongly agree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'Likert Summary'!$G$2:$G$11</c:f>
              <c:numCache>
                <c:formatCode>0%</c:formatCode>
                <c:ptCount val="0"/>
              </c:numCache>
            </c:numRef>
          </c:val>
        </c:ser>
        <c:axId val="548970318"/>
        <c:axId val="98633304"/>
      </c:barChart>
      <c:catAx>
        <c:axId val="54897031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Question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98633304"/>
        <c:lblAlgn val="ctr"/>
        <c:lblOffset val="100"/>
        <c:noMultiLvlLbl val="0"/>
      </c:catAx>
      <c:valAx>
        <c:axId val="98633304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Agreement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548970318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3.xml><?xml version="1.0" encoding="utf-8"?>
<c:chartSpace xmlns:c="http://schemas.openxmlformats.org/drawingml/2006/chart">
  <c:lang val="en-US"/>
  <c:chart>
    <c:plotArea>
      <c:barChart>
        <c:barDir val="col"/>
        <c:varyColors val="0"/>
        <c:ser>
          <c:idx val="0"/>
          <c:order val="0"/>
          <c:tx>
            <c:v>Responses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'Participant Summary'!$B$2:$B$6</c:f>
              <c:numCache>
                <c:formatCode>0</c:formatCode>
                <c:ptCount val="0"/>
              </c:numCache>
            </c:numRef>
          </c:val>
        </c:ser>
        <c:axId val="1866861026"/>
        <c:axId val="203519873"/>
      </c:barChart>
      <c:catAx>
        <c:axId val="1866861026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203519873"/>
        <c:lblAlgn val="ctr"/>
        <c:lblOffset val="100"/>
        <c:noMultiLvlLbl val="0"/>
      </c:catAx>
      <c:valAx>
        <c:axId val="203519873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866861026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13</xdr:row>
      <xdr:rowOff>0</xdr:rowOff>
    </xdr:from>
    <xdr:ext cx="11458575" cy="34004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9b8b1825b24b2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3</xdr:row>
      <xdr:rowOff>0</xdr:rowOff>
    </xdr:from>
    <xdr:ext cx="5915025" cy="300037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b5d459ed1b4cc5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915025" cy="300037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cfb0ec3d7342b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5ee87fb051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7d08d131bdd4ec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100" customWidth="1"/>
    <x:col min="3" max="26" width="8.630000114440918" customWidth="1"/>
  </x:cols>
  <x:sheetData>
    <x:row r="1">
      <x:c r="A1" s="2" t="s">
        <x:v>0</x:v>
      </x:c>
      <x:c r="B1" s="2" t="s">
        <x:v>1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4" t="s">
        <x:v>2</x:v>
      </x:c>
      <x:c r="B2" s="4" t="s">
        <x:v>3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4" t="s">
        <x:v>4</x:v>
      </x:c>
      <x:c r="B3" s="4" t="s">
        <x:v>5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4" t="s">
        <x:v>6</x:v>
      </x:c>
      <x:c r="B4" s="4" t="s">
        <x:v>7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4" t="s">
        <x:v>8</x:v>
      </x:c>
      <x:c r="B5" s="4" t="s">
        <x:v>9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4" t="s">
        <x:v>10</x:v>
      </x:c>
      <x:c r="B6" s="4" t="s">
        <x:v>11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4" t="s">
        <x:v>12</x:v>
      </x:c>
      <x:c r="B7" s="4" t="s">
        <x:v>13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4" t="s">
        <x:v>14</x:v>
      </x:c>
      <x:c r="B8" s="4" t="s">
        <x:v>15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4" t="s">
        <x:v>16</x:v>
      </x:c>
      <x:c r="B9" s="4" t="s">
        <x:v>17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4" t="s">
        <x:v>18</x:v>
      </x:c>
      <x:c r="B10" s="4" t="s">
        <x:v>19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4" t="s">
        <x:v>20</x:v>
      </x:c>
      <x:c r="B11" s="4" t="s">
        <x:v>21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4" t="s">
        <x:v>22</x:v>
      </x:c>
      <x:c r="B12" s="4" t="s">
        <x:v>23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4" t="s">
        <x:v>24</x:v>
      </x:c>
      <x:c r="B13" s="4" t="s">
        <x:v>25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6" width="16" customWidth="1"/>
    <x:col min="7" max="7" width="24" customWidth="1"/>
    <x:col min="8" max="9" width="12" customWidth="1"/>
    <x:col min="10" max="10" width="8.630000114440918" customWidth="1"/>
    <x:col min="11" max="11" width="10" customWidth="1"/>
    <x:col min="12" max="12" width="80" customWidth="1"/>
    <x:col min="13" max="26" width="8.630000114440918" customWidth="1"/>
  </x:cols>
  <x:sheetData>
    <x:row r="1">
      <x:c r="A1" s="1" t="str">
        <x:v>Question</x:v>
      </x:c>
      <x:c r="B1" s="1" t="str">
        <x:v>Strongly disagree</x:v>
      </x:c>
      <x:c r="C1" s="1" t="str">
        <x:v>Disagree</x:v>
      </x:c>
      <x:c r="D1" s="1" t="str">
        <x:v>Neutral</x:v>
      </x:c>
      <x:c r="E1" s="1" t="str">
        <x:v>Agree</x:v>
      </x:c>
      <x:c r="F1" s="1" t="str">
        <x:v>Strongly agree</x:v>
      </x:c>
      <x:c r="G1" s="1" t="str">
        <x:v>Agree + Strongly agree %</x:v>
      </x:c>
      <x:c r="H1" s="1" t="str">
        <x:v>Mean</x:v>
      </x:c>
      <x:c r="I1" s="1" t="str">
        <x:v>Median</x:v>
      </x:c>
      <x:c r="J1" s="3"/>
      <x:c r="K1" s="1" t="str">
        <x:v>Question</x:v>
      </x:c>
      <x:c r="L1" s="1" t="str">
        <x:v>Full wording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 t="str">
        <x:v>Q1</x:v>
      </x:c>
      <x:c r="B2" s="3" t="n">
        <x:v>1</x:v>
      </x:c>
      <x:c r="C2" s="3" t="n">
        <x:v>0</x:v>
      </x:c>
      <x:c r="D2" s="3" t="n">
        <x:v>6</x:v>
      </x:c>
      <x:c r="E2" s="3" t="n">
        <x:v>12</x:v>
      </x:c>
      <x:c r="F2" s="3" t="n">
        <x:v>4</x:v>
      </x:c>
      <x:c r="G2" s="6" t="n">
        <x:f t="shared" ref="G2:G11" si="1">(E2+F2)/23</x:f>
        <x:v>0.6956521739</x:v>
      </x:c>
      <x:c r="H2" s="7" t="n">
        <x:v>3.782608696</x:v>
      </x:c>
      <x:c r="I2" s="8" t="n">
        <x:v>4</x:v>
      </x:c>
      <x:c r="J2" s="3"/>
      <x:c r="K2" s="3" t="str">
        <x:v>Q1</x:v>
      </x:c>
      <x:c r="L2" s="4" t="str">
        <x:v>1. Predictive accuracy is one of the most important factors when selecting a credit-risk model.</x:v>
      </x:c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 t="str">
        <x:v>Q2</x:v>
      </x:c>
      <x:c r="B3" s="3" t="n">
        <x:v>0</x:v>
      </x:c>
      <x:c r="C3" s="3" t="n">
        <x:v>0</x:v>
      </x:c>
      <x:c r="D3" s="3" t="n">
        <x:v>3</x:v>
      </x:c>
      <x:c r="E3" s="3" t="n">
        <x:v>13</x:v>
      </x:c>
      <x:c r="F3" s="3" t="n">
        <x:v>7</x:v>
      </x:c>
      <x:c r="G3" s="6" t="n">
        <x:f t="shared" si="1"/>
        <x:v>0.8695652174</x:v>
      </x:c>
      <x:c r="H3" s="7" t="n">
        <x:v>4.173913043</x:v>
      </x:c>
      <x:c r="I3" s="8" t="n">
        <x:v>4</x:v>
      </x:c>
      <x:c r="J3" s="3"/>
      <x:c r="K3" s="3" t="str">
        <x:v>Q2</x:v>
      </x:c>
      <x:c r="L3" s="4" t="str">
        <x:v>2. I would be less willing to trust a highly accurate model if I could not understand how it reached its decisions.</x:v>
      </x:c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v>Q3</x:v>
      </x:c>
      <x:c r="B4" s="3" t="n">
        <x:v>0</x:v>
      </x:c>
      <x:c r="C4" s="3" t="n">
        <x:v>1</x:v>
      </x:c>
      <x:c r="D4" s="3" t="n">
        <x:v>3</x:v>
      </x:c>
      <x:c r="E4" s="3" t="n">
        <x:v>8</x:v>
      </x:c>
      <x:c r="F4" s="3" t="n">
        <x:v>11</x:v>
      </x:c>
      <x:c r="G4" s="6" t="n">
        <x:f t="shared" si="1"/>
        <x:v>0.8260869565</x:v>
      </x:c>
      <x:c r="H4" s="7" t="n">
        <x:v>4.260869565</x:v>
      </x:c>
      <x:c r="I4" s="8" t="n">
        <x:v>4</x:v>
      </x:c>
      <x:c r="J4" s="3"/>
      <x:c r="K4" s="3" t="str">
        <x:v>Q3</x:v>
      </x:c>
      <x:c r="L4" s="4" t="str">
        <x:v>3. Explainability is especially important when a model rejects a borrower or predicts a high risk of default.</x:v>
      </x:c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Q4</x:v>
      </x:c>
      <x:c r="B5" s="3" t="n">
        <x:v>0</x:v>
      </x:c>
      <x:c r="C5" s="3" t="n">
        <x:v>2</x:v>
      </x:c>
      <x:c r="D5" s="3" t="n">
        <x:v>10</x:v>
      </x:c>
      <x:c r="E5" s="3" t="n">
        <x:v>8</x:v>
      </x:c>
      <x:c r="F5" s="3" t="n">
        <x:v>3</x:v>
      </x:c>
      <x:c r="G5" s="6" t="n">
        <x:f t="shared" si="1"/>
        <x:v>0.4782608696</x:v>
      </x:c>
      <x:c r="H5" s="7" t="n">
        <x:v>3.52173913</x:v>
      </x:c>
      <x:c r="I5" s="8" t="n">
        <x:v>3</x:v>
      </x:c>
      <x:c r="J5" s="3"/>
      <x:c r="K5" s="3" t="str">
        <x:v>Q4</x:v>
      </x:c>
      <x:c r="L5" s="4" t="str">
        <x:v>4. Simpler models such as Logistic Regression may be preferable when their predictive performance is close to that of more complex models.</x:v>
      </x:c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Q5</x:v>
      </x:c>
      <x:c r="B6" s="3" t="n">
        <x:v>0</x:v>
      </x:c>
      <x:c r="C6" s="3" t="n">
        <x:v>0</x:v>
      </x:c>
      <x:c r="D6" s="3" t="n">
        <x:v>10</x:v>
      </x:c>
      <x:c r="E6" s="3" t="n">
        <x:v>10</x:v>
      </x:c>
      <x:c r="F6" s="3" t="n">
        <x:v>3</x:v>
      </x:c>
      <x:c r="G6" s="6" t="n">
        <x:f t="shared" si="1"/>
        <x:v>0.5652173913</x:v>
      </x:c>
      <x:c r="H6" s="7" t="n">
        <x:v>3.695652174</x:v>
      </x:c>
      <x:c r="I6" s="8" t="n">
        <x:v>4</x:v>
      </x:c>
      <x:c r="J6" s="3"/>
      <x:c r="K6" s="3" t="str">
        <x:v>Q5</x:v>
      </x:c>
      <x:c r="L6" s="4" t="str">
        <x:v>5. Explainability tools such as SHAP can make complex machine-learning models more useful in financial decision-making.</x:v>
      </x:c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tr">
        <x:v>Q6</x:v>
      </x:c>
      <x:c r="B7" s="3" t="n">
        <x:v>0</x:v>
      </x:c>
      <x:c r="C7" s="3" t="n">
        <x:v>0</x:v>
      </x:c>
      <x:c r="D7" s="3" t="n">
        <x:v>3</x:v>
      </x:c>
      <x:c r="E7" s="3" t="n">
        <x:v>12</x:v>
      </x:c>
      <x:c r="F7" s="3" t="n">
        <x:v>8</x:v>
      </x:c>
      <x:c r="G7" s="6" t="n">
        <x:f t="shared" si="1"/>
        <x:v>0.8695652174</x:v>
      </x:c>
      <x:c r="H7" s="7" t="n">
        <x:v>4.217391304</x:v>
      </x:c>
      <x:c r="I7" s="8" t="n">
        <x:v>4</x:v>
      </x:c>
      <x:c r="J7" s="3"/>
      <x:c r="K7" s="3" t="str">
        <x:v>Q6</x:v>
      </x:c>
      <x:c r="L7" s="4" t="str">
        <x:v>6. Consistency between different explanation methods would increase my confidence in a model.</x:v>
      </x:c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 t="str">
        <x:v>Q7</x:v>
      </x:c>
      <x:c r="B8" s="3" t="n">
        <x:v>0</x:v>
      </x:c>
      <x:c r="C8" s="3" t="n">
        <x:v>1</x:v>
      </x:c>
      <x:c r="D8" s="3" t="n">
        <x:v>5</x:v>
      </x:c>
      <x:c r="E8" s="3" t="n">
        <x:v>12</x:v>
      </x:c>
      <x:c r="F8" s="3" t="n">
        <x:v>5</x:v>
      </x:c>
      <x:c r="G8" s="6" t="n">
        <x:f t="shared" si="1"/>
        <x:v>0.7391304348</x:v>
      </x:c>
      <x:c r="H8" s="7" t="n">
        <x:v>3.913043478</x:v>
      </x:c>
      <x:c r="I8" s="8" t="n">
        <x:v>4</x:v>
      </x:c>
      <x:c r="J8" s="3"/>
      <x:c r="K8" s="3" t="str">
        <x:v>Q7</x:v>
      </x:c>
      <x:c r="L8" s="4" t="str">
        <x:v>7. Credit-score information such as FICO is important when evaluating credit risk.</x:v>
      </x:c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 t="str">
        <x:v>Q8</x:v>
      </x:c>
      <x:c r="B9" s="3" t="n">
        <x:v>0</x:v>
      </x:c>
      <x:c r="C9" s="3" t="n">
        <x:v>0</x:v>
      </x:c>
      <x:c r="D9" s="3" t="n">
        <x:v>3</x:v>
      </x:c>
      <x:c r="E9" s="3" t="n">
        <x:v>8</x:v>
      </x:c>
      <x:c r="F9" s="3" t="n">
        <x:v>12</x:v>
      </x:c>
      <x:c r="G9" s="6" t="n">
        <x:f t="shared" si="1"/>
        <x:v>0.8695652174</x:v>
      </x:c>
      <x:c r="H9" s="7" t="n">
        <x:v>4.391304348</x:v>
      </x:c>
      <x:c r="I9" s="8" t="n">
        <x:v>5</x:v>
      </x:c>
      <x:c r="J9" s="3"/>
      <x:c r="K9" s="3" t="str">
        <x:v>Q8</x:v>
      </x:c>
      <x:c r="L9" s="4" t="str">
        <x:v>8. False negatives—failing to identify an actual default—are a serious concern in credit-risk modelling.</x:v>
      </x:c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 t="str">
        <x:v>Q9</x:v>
      </x:c>
      <x:c r="B10" s="3" t="n">
        <x:v>0</x:v>
      </x:c>
      <x:c r="C10" s="3" t="n">
        <x:v>1</x:v>
      </x:c>
      <x:c r="D10" s="3" t="n">
        <x:v>3</x:v>
      </x:c>
      <x:c r="E10" s="3" t="n">
        <x:v>9</x:v>
      </x:c>
      <x:c r="F10" s="3" t="n">
        <x:v>10</x:v>
      </x:c>
      <x:c r="G10" s="6" t="n">
        <x:f t="shared" si="1"/>
        <x:v>0.8260869565</x:v>
      </x:c>
      <x:c r="H10" s="7" t="n">
        <x:v>4.217391304</x:v>
      </x:c>
      <x:c r="I10" s="8" t="n">
        <x:v>4</x:v>
      </x:c>
      <x:c r="J10" s="3"/>
      <x:c r="K10" s="3" t="str">
        <x:v>Q9</x:v>
      </x:c>
      <x:c r="L10" s="4" t="str">
        <x:v>9. False positives—incorrectly classifying a reliable borrower as high risk—are also an important concern.</x:v>
      </x:c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Q10</x:v>
      </x:c>
      <x:c r="B11" s="3" t="n">
        <x:v>0</x:v>
      </x:c>
      <x:c r="C11" s="3" t="n">
        <x:v>0</x:v>
      </x:c>
      <x:c r="D11" s="3" t="n">
        <x:v>2</x:v>
      </x:c>
      <x:c r="E11" s="3" t="n">
        <x:v>8</x:v>
      </x:c>
      <x:c r="F11" s="3" t="n">
        <x:v>13</x:v>
      </x:c>
      <x:c r="G11" s="6" t="n">
        <x:f t="shared" si="1"/>
        <x:v>0.9130434783</x:v>
      </x:c>
      <x:c r="H11" s="7" t="n">
        <x:v>4.47826087</x:v>
      </x:c>
      <x:c r="I11" s="8" t="n">
        <x:v>5</x:v>
      </x:c>
      <x:c r="J11" s="3"/>
      <x:c r="K11" s="3" t="str">
        <x:v>Q10</x:v>
      </x:c>
      <x:c r="L11" s="4" t="str">
        <x:v>10. Human review should remain part of important credit decisions even when machine-learning models are used.</x:v>
      </x:c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drawing xmlns:r="http://schemas.openxmlformats.org/officeDocument/2006/relationships" r:id="R485ee87fb05142bc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3" width="22" customWidth="1"/>
    <x:col min="4" max="4" width="8.630000114440918" customWidth="1"/>
    <x:col min="5" max="7" width="22" customWidth="1"/>
    <x:col min="8" max="8" width="8.630000114440918" customWidth="1"/>
    <x:col min="9" max="11" width="22" customWidth="1"/>
    <x:col min="12" max="26" width="8.630000114440918" customWidth="1"/>
  </x:cols>
  <x:sheetData>
    <x:row r="1">
      <x:c r="A1" s="1" t="str">
        <x:v>Professional Area</x:v>
      </x:c>
      <x:c r="B1" s="1" t="str">
        <x:v>Count</x:v>
      </x:c>
      <x:c r="C1" s="1" t="str">
        <x:v>Percent</x:v>
      </x:c>
      <x:c r="D1" s="3"/>
      <x:c r="E1" s="1" t="str">
        <x:v>Experience</x:v>
      </x:c>
      <x:c r="F1" s="1" t="str">
        <x:v>Count</x:v>
      </x:c>
      <x:c r="G1" s="1" t="str">
        <x:v>Percent</x:v>
      </x:c>
      <x:c r="H1" s="3"/>
      <x:c r="I1" s="1" t="str">
        <x:v>ML Familiarity</x:v>
      </x:c>
      <x:c r="J1" s="1" t="str">
        <x:v>Count</x:v>
      </x:c>
      <x:c r="K1" s="1" t="str">
        <x:v>Percent</x:v>
      </x:c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 t="str">
        <x:v>Data analytics/data science</x:v>
      </x:c>
      <x:c r="B2" s="3" t="n">
        <x:v>11</x:v>
      </x:c>
      <x:c r="C2" s="6" t="n">
        <x:f t="shared" ref="C2:C6" si="1">B2/23</x:f>
        <x:v>0.4782608695652174</x:v>
      </x:c>
      <x:c r="D2" s="3"/>
      <x:c r="E2" s="3" t="str">
        <x:v>Less than 1 year</x:v>
      </x:c>
      <x:c r="F2" s="3" t="n">
        <x:v>4</x:v>
      </x:c>
      <x:c r="G2" s="6" t="n">
        <x:f t="shared" ref="G2:G6" si="2">F2/23</x:f>
        <x:v>0.17391304347826086</x:v>
      </x:c>
      <x:c r="H2" s="3"/>
      <x:c r="I2" s="3" t="n">
        <x:v>1</x:v>
      </x:c>
      <x:c r="J2" s="3" t="n">
        <x:v>1</x:v>
      </x:c>
      <x:c r="K2" s="6" t="n">
        <x:f t="shared" ref="K2:K6" si="3">J2/23</x:f>
        <x:v>0.043478260869565216</x:v>
      </x:c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 t="str">
        <x:v>Audit/compliance</x:v>
      </x:c>
      <x:c r="B3" s="3" t="n">
        <x:v>4</x:v>
      </x:c>
      <x:c r="C3" s="6" t="n">
        <x:f t="shared" si="1"/>
        <x:v>0.1739130435</x:v>
      </x:c>
      <x:c r="D3" s="3"/>
      <x:c r="E3" s="3" t="str">
        <x:v>1–3 years</x:v>
      </x:c>
      <x:c r="F3" s="3" t="n">
        <x:v>6</x:v>
      </x:c>
      <x:c r="G3" s="6" t="n">
        <x:f t="shared" si="2"/>
        <x:v>0.2608695652</x:v>
      </x:c>
      <x:c r="H3" s="3"/>
      <x:c r="I3" s="3" t="n">
        <x:v>2</x:v>
      </x:c>
      <x:c r="J3" s="3" t="n">
        <x:v>1</x:v>
      </x:c>
      <x:c r="K3" s="6" t="n">
        <x:f t="shared" si="3"/>
        <x:v>0.04347826087</x:v>
      </x:c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v>Banking/finance</x:v>
      </x:c>
      <x:c r="B4" s="3" t="n">
        <x:v>3</x:v>
      </x:c>
      <x:c r="C4" s="6" t="n">
        <x:f t="shared" si="1"/>
        <x:v>0.1304347826</x:v>
      </x:c>
      <x:c r="D4" s="3"/>
      <x:c r="E4" s="3" t="str">
        <x:v>4–6 years</x:v>
      </x:c>
      <x:c r="F4" s="3" t="n">
        <x:v>5</x:v>
      </x:c>
      <x:c r="G4" s="6" t="n">
        <x:f t="shared" si="2"/>
        <x:v>0.2173913043</x:v>
      </x:c>
      <x:c r="H4" s="3"/>
      <x:c r="I4" s="3" t="n">
        <x:v>3</x:v>
      </x:c>
      <x:c r="J4" s="3" t="n">
        <x:v>5</x:v>
      </x:c>
      <x:c r="K4" s="6" t="n">
        <x:f t="shared" si="3"/>
        <x:v>0.2173913043</x:v>
      </x:c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Risk management</x:v>
      </x:c>
      <x:c r="B5" s="3" t="n">
        <x:v>3</x:v>
      </x:c>
      <x:c r="C5" s="6" t="n">
        <x:f t="shared" si="1"/>
        <x:v>0.1304347826</x:v>
      </x:c>
      <x:c r="D5" s="3"/>
      <x:c r="E5" s="3" t="str">
        <x:v>7–10 years</x:v>
      </x:c>
      <x:c r="F5" s="3" t="n">
        <x:v>6</x:v>
      </x:c>
      <x:c r="G5" s="6" t="n">
        <x:f t="shared" si="2"/>
        <x:v>0.2608695652</x:v>
      </x:c>
      <x:c r="H5" s="3"/>
      <x:c r="I5" s="3" t="n">
        <x:v>4</x:v>
      </x:c>
      <x:c r="J5" s="3" t="n">
        <x:v>8</x:v>
      </x:c>
      <x:c r="K5" s="6" t="n">
        <x:f t="shared" si="3"/>
        <x:v>0.347826087</x:v>
      </x:c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Credit analysis</x:v>
      </x:c>
      <x:c r="B6" s="3" t="n">
        <x:v>2</x:v>
      </x:c>
      <x:c r="C6" s="6" t="n">
        <x:f t="shared" si="1"/>
        <x:v>0.08695652174</x:v>
      </x:c>
      <x:c r="D6" s="3"/>
      <x:c r="E6" s="3" t="str">
        <x:v>More than 10 years</x:v>
      </x:c>
      <x:c r="F6" s="3" t="n">
        <x:v>2</x:v>
      </x:c>
      <x:c r="G6" s="6" t="n">
        <x:f t="shared" si="2"/>
        <x:v>0.08695652174</x:v>
      </x:c>
      <x:c r="H6" s="3"/>
      <x:c r="I6" s="3" t="n">
        <x:v>5</x:v>
      </x:c>
      <x:c r="J6" s="3" t="n">
        <x:v>8</x:v>
      </x:c>
      <x:c r="K6" s="6" t="n">
        <x:f t="shared" si="3"/>
        <x:v>0.347826087</x:v>
      </x:c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/>
      <x:c r="B8" s="3"/>
      <x:c r="C8" s="3"/>
      <x:c r="D8" s="3"/>
      <x:c r="E8" s="3"/>
      <x:c r="F8" s="3"/>
      <x:c r="G8" s="3"/>
      <x:c r="H8" s="3"/>
      <x:c r="I8" s="9" t="str">
        <x:v>ML Familiarity metric</x:v>
      </x:c>
      <x:c r="J8" s="9" t="str">
        <x:v>Value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 t="str">
        <x:v>Mean</x:v>
      </x:c>
      <x:c r="J9" s="7" t="n">
        <x:v>3.9130434782608696</x:v>
      </x:c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 t="str">
        <x:v>Median</x:v>
      </x:c>
      <x:c r="J10" s="8" t="n">
        <x:v>4</x:v>
      </x:c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34" customWidth="1"/>
    <x:col min="2" max="2" width="12" customWidth="1"/>
    <x:col min="3" max="3" width="24" customWidth="1"/>
    <x:col min="4" max="4" width="52" customWidth="1"/>
    <x:col min="5" max="5" width="8.630000114440918" customWidth="1"/>
    <x:col min="6" max="8" width="22" customWidth="1"/>
    <x:col min="9" max="26" width="8.630000114440918" customWidth="1"/>
  </x:cols>
  <x:sheetData>
    <x:row r="1">
      <x:c r="A1" s="2" t="s">
        <x:v>26</x:v>
      </x:c>
      <x:c r="B1" s="2" t="s">
        <x:v>27</x:v>
      </x:c>
      <x:c r="C1" s="2" t="s">
        <x:v>28</x:v>
      </x:c>
      <x:c r="D1" s="2" t="s">
        <x:v>29</x:v>
      </x:c>
      <x:c r="E1" s="3"/>
      <x:c r="F1" s="10" t="s">
        <x:v>30</x:v>
      </x:c>
      <x:c r="G1" s="10"/>
      <x:c r="H1" s="10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 t="s">
        <x:v>31</x:v>
      </x:c>
      <x:c r="B2" s="3">
        <x:v>6.0</x:v>
      </x:c>
      <x:c r="C2" s="6">
        <x:v>0.75</x:v>
      </x:c>
      <x:c r="D2" s="3" t="s">
        <x:v>32</x:v>
      </x:c>
      <x:c r="E2" s="3"/>
      <x:c r="F2" s="3" t="s">
        <x:v>33</x:v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 t="s">
        <x:v>34</x:v>
      </x:c>
      <x:c r="B3" s="3">
        <x:v>3.0</x:v>
      </x:c>
      <x:c r="C3" s="6">
        <x:v>0.375</x:v>
      </x:c>
      <x:c r="D3" s="3" t="s">
        <x:v>32</x:v>
      </x:c>
      <x:c r="E3" s="3"/>
      <x:c r="F3" s="3" t="s">
        <x:v>35</x:v>
      </x:c>
      <x:c r="G3" s="3">
        <x:v>8.0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">
        <x:v>36</x:v>
      </x:c>
      <x:c r="B4" s="3">
        <x:v>2.0</x:v>
      </x:c>
      <x:c r="C4" s="6">
        <x:v>0.25</x:v>
      </x:c>
      <x:c r="D4" s="3" t="s">
        <x:v>32</x:v>
      </x:c>
      <x:c r="E4" s="3"/>
      <x:c r="F4" s="3" t="s">
        <x:v>37</x:v>
      </x:c>
      <x:c r="G4" s="3">
        <x:v>8.0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">
        <x:v>38</x:v>
      </x:c>
      <x:c r="B5" s="3">
        <x:v>1.0</x:v>
      </x:c>
      <x:c r="C5" s="6">
        <x:v>0.125</x:v>
      </x:c>
      <x:c r="D5" s="3" t="s">
        <x:v>32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">
        <x:v>39</x:v>
      </x:c>
      <x:c r="B6" s="3">
        <x:v>1.0</x:v>
      </x:c>
      <x:c r="C6" s="6">
        <x:v>0.125</x:v>
      </x:c>
      <x:c r="D6" s="3" t="s">
        <x:v>32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">
        <x:v>40</x:v>
      </x:c>
      <x:c r="B7" s="3">
        <x:v>1.0</x:v>
      </x:c>
      <x:c r="C7" s="6">
        <x:v>0.125</x:v>
      </x:c>
      <x:c r="D7" s="3" t="s">
        <x:v>32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 t="s">
        <x:v>41</x:v>
      </x:c>
      <x:c r="B8" s="3">
        <x:v>1.0</x:v>
      </x:c>
      <x:c r="C8" s="6">
        <x:v>0.125</x:v>
      </x:c>
      <x:c r="D8" s="3" t="s">
        <x:v>32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" t="s">
        <x:v>42</x:v>
      </x:c>
      <x:c r="B11" s="1" t="s">
        <x:v>27</x:v>
      </x:c>
      <x:c r="C11" s="1" t="s">
        <x:v>43</x:v>
      </x:c>
      <x:c r="D11" s="1" t="s">
        <x:v>29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">
        <x:v>44</x:v>
      </x:c>
      <x:c r="B12" s="3">
        <x:v>4.0</x:v>
      </x:c>
      <x:c r="C12" s="6">
        <x:v>0.5</x:v>
      </x:c>
      <x:c r="D12" s="3" t="s">
        <x:v>32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">
        <x:v>45</x:v>
      </x:c>
      <x:c r="B13" s="3">
        <x:v>2.0</x:v>
      </x:c>
      <x:c r="C13" s="6">
        <x:v>0.25</x:v>
      </x:c>
      <x:c r="D13" s="3" t="s">
        <x:v>32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 t="s">
        <x:v>46</x:v>
      </x:c>
      <x:c r="B14" s="3">
        <x:v>3.0</x:v>
      </x:c>
      <x:c r="C14" s="6">
        <x:v>0.375</x:v>
      </x:c>
      <x:c r="D14" s="3" t="s">
        <x:v>32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 t="s">
        <x:v>47</x:v>
      </x:c>
      <x:c r="B15" s="3">
        <x:v>2.0</x:v>
      </x:c>
      <x:c r="C15" s="6">
        <x:v>0.25</x:v>
      </x:c>
      <x:c r="D15" s="3" t="s">
        <x:v>32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 t="s">
        <x:v>48</x:v>
      </x:c>
      <x:c r="B16" s="3">
        <x:v>1.0</x:v>
      </x:c>
      <x:c r="C16" s="6">
        <x:v>0.125</x:v>
      </x:c>
      <x:c r="D16" s="3" t="s">
        <x:v>32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 t="s">
        <x:v>49</x:v>
      </x:c>
      <x:c r="B17" s="3">
        <x:v>1.0</x:v>
      </x:c>
      <x:c r="C17" s="6">
        <x:v>0.125</x:v>
      </x:c>
      <x:c r="D17" s="3" t="s">
        <x:v>32</x:v>
      </x:c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 t="s">
        <x:v>50</x:v>
      </x:c>
      <x:c r="B18" s="3">
        <x:v>1.0</x:v>
      </x:c>
      <x:c r="C18" s="6">
        <x:v>0.125</x:v>
      </x:c>
      <x:c r="D18" s="3" t="s">
        <x:v>32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 t="s">
        <x:v>51</x:v>
      </x:c>
      <x:c r="B19" s="3">
        <x:v>1.0</x:v>
      </x:c>
      <x:c r="C19" s="6">
        <x:v>0.125</x:v>
      </x:c>
      <x:c r="D19" s="3" t="s">
        <x:v>32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2" width="28" customWidth="1"/>
    <x:col min="3" max="26" width="8.630000114440918" customWidth="1"/>
  </x:cols>
  <x:sheetData>
    <x:row r="1">
      <x:c r="A1" s="11" t="str">
        <x:v>Practitioner Questionnaire Analysis – Updated</x:v>
      </x:c>
      <x:c r="B1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/>
      <x:c r="B2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9" t="str">
        <x:v>Key metric</x:v>
      </x:c>
      <x:c r="B4" s="9" t="str">
        <x:v>Value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Valid consenting responses</x:v>
      </x:c>
      <x:c r="B5" s="3" t="n">
        <x:v>23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Q11 open responses</x:v>
      </x:c>
      <x:c r="B6" s="3" t="n">
        <x:v>8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tr">
        <x:v>Q12 open responses</x:v>
      </x:c>
      <x:c r="B7" s="3" t="n">
        <x:v>8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 t="str">
        <x:v>Mean ML familiarity</x:v>
      </x:c>
      <x:c r="B8" s="7" t="n">
        <x:v>3.9130434782608696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9" t="str">
        <x:v>Highest agreement items</x:v>
      </x:c>
      <x:c r="B10" s="9" t="str">
        <x:v>Agree + Strongly agree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Q10 Human review</x:v>
      </x:c>
      <x:c r="B11" s="6" t="n">
        <x:v>0.9130434783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tr">
        <x:v>Q8 False negatives</x:v>
      </x:c>
      <x:c r="B12" s="6" t="n">
        <x:v>0.8695652174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tr">
        <x:v>Q2 Trust and opacity</x:v>
      </x:c>
      <x:c r="B13" s="6" t="n">
        <x:v>0.8695652174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2"/>
  </x:mergeCells>
  <x:pageMargins left="0.7" right="0.7" top="0.75" bottom="0.75" header="0.3" footer="0.3"/>
  <x:drawing xmlns:r="http://schemas.openxmlformats.org/officeDocument/2006/relationships" r:id="Rb7d08d131bdd4eca"/>
</x:worksheet>
</file>